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1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2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3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omments4.xml" ContentType="application/vnd.openxmlformats-officedocument.spreadsheetml.comments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5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fa25da517a325c5/Área de Trabalho/"/>
    </mc:Choice>
  </mc:AlternateContent>
  <xr:revisionPtr revIDLastSave="58" documentId="13_ncr:1_{AEA9C2C6-C9AC-42E3-90CF-F48A01DAB327}" xr6:coauthVersionLast="47" xr6:coauthVersionMax="47" xr10:uidLastSave="{84212459-11F0-4099-8FFD-6FC5165DC123}"/>
  <bookViews>
    <workbookView xWindow="-120" yWindow="-120" windowWidth="29040" windowHeight="15840" firstSheet="3" activeTab="9" xr2:uid="{00000000-000D-0000-FFFF-FFFF00000000}"/>
  </bookViews>
  <sheets>
    <sheet name="Mês 08" sheetId="6" r:id="rId1"/>
    <sheet name="Mês 09" sheetId="9" r:id="rId2"/>
    <sheet name="Mês 10" sheetId="10" r:id="rId3"/>
    <sheet name="Mês 11" sheetId="12" r:id="rId4"/>
    <sheet name="Mês 12" sheetId="14" r:id="rId5"/>
    <sheet name="2026 Mês 01" sheetId="16" r:id="rId6"/>
    <sheet name="Fev-2026" sheetId="18" r:id="rId7"/>
    <sheet name="Mar-2026" sheetId="20" r:id="rId8"/>
    <sheet name="Abr-2026" sheetId="21" r:id="rId9"/>
    <sheet name="Maio-2026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23" l="1"/>
  <c r="L42" i="23" s="1"/>
  <c r="J28" i="23"/>
  <c r="K22" i="23" s="1"/>
  <c r="J24" i="23"/>
  <c r="F27" i="23" s="1"/>
  <c r="J26" i="23"/>
  <c r="F32" i="23" s="1"/>
  <c r="J30" i="23"/>
  <c r="F29" i="23" s="1"/>
  <c r="J23" i="23"/>
  <c r="C39" i="23"/>
  <c r="J29" i="23"/>
  <c r="F28" i="23" s="1"/>
  <c r="J27" i="23"/>
  <c r="J25" i="23"/>
  <c r="F31" i="23" s="1"/>
  <c r="J22" i="23"/>
  <c r="F25" i="23" s="1"/>
  <c r="Q110" i="23"/>
  <c r="Q83" i="23"/>
  <c r="Q46" i="23"/>
  <c r="Q36" i="23"/>
  <c r="Q7" i="23"/>
  <c r="Q6" i="23"/>
  <c r="G38" i="21"/>
  <c r="N9" i="23"/>
  <c r="C12" i="23"/>
  <c r="J11" i="23"/>
  <c r="C30" i="23"/>
  <c r="F8" i="23"/>
  <c r="F9" i="23" s="1"/>
  <c r="V124" i="21"/>
  <c r="V79" i="21" s="1"/>
  <c r="V39" i="21"/>
  <c r="C39" i="21"/>
  <c r="C16" i="21"/>
  <c r="J30" i="21"/>
  <c r="Q116" i="21"/>
  <c r="Q85" i="21"/>
  <c r="Q87" i="21" s="1"/>
  <c r="Q83" i="21"/>
  <c r="Q82" i="21"/>
  <c r="Q34" i="21"/>
  <c r="Q31" i="21"/>
  <c r="Q25" i="21"/>
  <c r="J11" i="21"/>
  <c r="C16" i="20"/>
  <c r="C12" i="21"/>
  <c r="N9" i="21"/>
  <c r="F8" i="21" s="1"/>
  <c r="F9" i="21" s="1"/>
  <c r="G25" i="20"/>
  <c r="C30" i="21"/>
  <c r="J29" i="21"/>
  <c r="F28" i="21" s="1"/>
  <c r="G28" i="21" s="1"/>
  <c r="J28" i="21"/>
  <c r="K22" i="21" s="1"/>
  <c r="J27" i="21"/>
  <c r="J26" i="21"/>
  <c r="F32" i="21" s="1"/>
  <c r="G32" i="21" s="1"/>
  <c r="J25" i="21"/>
  <c r="F31" i="21" s="1"/>
  <c r="G31" i="21" s="1"/>
  <c r="J24" i="21"/>
  <c r="F27" i="21" s="1"/>
  <c r="G27" i="21" s="1"/>
  <c r="J23" i="21"/>
  <c r="F26" i="21" s="1"/>
  <c r="G26" i="21" s="1"/>
  <c r="J22" i="21"/>
  <c r="F25" i="21" s="1"/>
  <c r="G25" i="21" s="1"/>
  <c r="G35" i="20"/>
  <c r="Q111" i="20"/>
  <c r="C39" i="20"/>
  <c r="F48" i="20" s="1"/>
  <c r="J44" i="20"/>
  <c r="K44" i="20" s="1"/>
  <c r="Q98" i="20"/>
  <c r="Q97" i="20"/>
  <c r="Q72" i="20"/>
  <c r="Q73" i="20"/>
  <c r="Q69" i="20"/>
  <c r="Q65" i="20"/>
  <c r="Q64" i="20"/>
  <c r="Q63" i="20"/>
  <c r="Q56" i="20"/>
  <c r="Q55" i="20"/>
  <c r="Q57" i="20"/>
  <c r="Q13" i="20"/>
  <c r="N13" i="20"/>
  <c r="N14" i="20" s="1"/>
  <c r="N9" i="20"/>
  <c r="F8" i="20" s="1"/>
  <c r="F9" i="20" s="1"/>
  <c r="J10" i="20"/>
  <c r="F9" i="18"/>
  <c r="F13" i="16"/>
  <c r="C12" i="20"/>
  <c r="Q6" i="20"/>
  <c r="Q5" i="20"/>
  <c r="J23" i="20" s="1"/>
  <c r="F26" i="20" s="1"/>
  <c r="G26" i="20" s="1"/>
  <c r="G40" i="18"/>
  <c r="C42" i="18"/>
  <c r="C39" i="18"/>
  <c r="C43" i="18" s="1"/>
  <c r="Q81" i="18"/>
  <c r="Q80" i="18"/>
  <c r="J23" i="18"/>
  <c r="C12" i="18"/>
  <c r="Q58" i="18"/>
  <c r="Q8" i="18"/>
  <c r="Q42" i="18"/>
  <c r="Q37" i="18"/>
  <c r="Q31" i="18"/>
  <c r="Q29" i="18"/>
  <c r="Q9" i="18"/>
  <c r="J28" i="18" s="1"/>
  <c r="K22" i="18" s="1"/>
  <c r="Q70" i="18"/>
  <c r="Q69" i="18"/>
  <c r="Q65" i="18"/>
  <c r="Q63" i="18"/>
  <c r="J10" i="18"/>
  <c r="Q44" i="18"/>
  <c r="J30" i="20"/>
  <c r="F29" i="20" s="1"/>
  <c r="G29" i="20" s="1"/>
  <c r="C30" i="20"/>
  <c r="J29" i="20"/>
  <c r="F28" i="20" s="1"/>
  <c r="G28" i="20" s="1"/>
  <c r="J28" i="20"/>
  <c r="K22" i="20" s="1"/>
  <c r="J27" i="20"/>
  <c r="J26" i="20"/>
  <c r="F32" i="20" s="1"/>
  <c r="G32" i="20" s="1"/>
  <c r="J25" i="20"/>
  <c r="F31" i="20" s="1"/>
  <c r="G31" i="20" s="1"/>
  <c r="J24" i="20"/>
  <c r="F27" i="20" s="1"/>
  <c r="G27" i="20" s="1"/>
  <c r="J22" i="20"/>
  <c r="F25" i="20" s="1"/>
  <c r="N13" i="18"/>
  <c r="J30" i="18"/>
  <c r="F29" i="18" s="1"/>
  <c r="G29" i="18" s="1"/>
  <c r="C30" i="18"/>
  <c r="J29" i="18"/>
  <c r="F28" i="18" s="1"/>
  <c r="G28" i="18" s="1"/>
  <c r="J27" i="18"/>
  <c r="J26" i="18"/>
  <c r="F32" i="18" s="1"/>
  <c r="G32" i="18" s="1"/>
  <c r="J25" i="18"/>
  <c r="F31" i="18" s="1"/>
  <c r="J24" i="18"/>
  <c r="F27" i="18" s="1"/>
  <c r="J22" i="18"/>
  <c r="F25" i="18" s="1"/>
  <c r="G25" i="18" s="1"/>
  <c r="N14" i="18"/>
  <c r="N9" i="18"/>
  <c r="F8" i="18" s="1"/>
  <c r="K38" i="16"/>
  <c r="C10" i="16" s="1"/>
  <c r="Q90" i="16"/>
  <c r="Q77" i="16"/>
  <c r="C40" i="16"/>
  <c r="C42" i="16" s="1"/>
  <c r="Q45" i="16"/>
  <c r="Q44" i="16"/>
  <c r="C27" i="12"/>
  <c r="C12" i="16"/>
  <c r="Q30" i="16"/>
  <c r="J24" i="16"/>
  <c r="F27" i="16" s="1"/>
  <c r="G27" i="16" s="1"/>
  <c r="C30" i="16"/>
  <c r="Q14" i="16"/>
  <c r="K38" i="14"/>
  <c r="G38" i="14"/>
  <c r="I38" i="14" s="1"/>
  <c r="C12" i="14"/>
  <c r="N36" i="14"/>
  <c r="N43" i="14"/>
  <c r="I16" i="14"/>
  <c r="J29" i="14"/>
  <c r="G47" i="14"/>
  <c r="G44" i="14"/>
  <c r="I44" i="14" s="1"/>
  <c r="G41" i="14"/>
  <c r="J26" i="14"/>
  <c r="F32" i="14" s="1"/>
  <c r="G32" i="14" s="1"/>
  <c r="J28" i="14"/>
  <c r="K22" i="14" s="1"/>
  <c r="J22" i="14"/>
  <c r="F25" i="14" s="1"/>
  <c r="G25" i="14" s="1"/>
  <c r="J30" i="14"/>
  <c r="F29" i="14" s="1"/>
  <c r="J25" i="14"/>
  <c r="F31" i="14" s="1"/>
  <c r="J24" i="14"/>
  <c r="F27" i="14" s="1"/>
  <c r="J23" i="14"/>
  <c r="J27" i="14"/>
  <c r="J30" i="16"/>
  <c r="F29" i="16" s="1"/>
  <c r="G29" i="16" s="1"/>
  <c r="J29" i="16"/>
  <c r="F28" i="16" s="1"/>
  <c r="G28" i="16" s="1"/>
  <c r="J28" i="16"/>
  <c r="K22" i="16" s="1"/>
  <c r="J26" i="16"/>
  <c r="F32" i="16" s="1"/>
  <c r="G32" i="16" s="1"/>
  <c r="J25" i="16"/>
  <c r="F31" i="16" s="1"/>
  <c r="G31" i="16" s="1"/>
  <c r="J23" i="16"/>
  <c r="F26" i="16" s="1"/>
  <c r="G26" i="16" s="1"/>
  <c r="J22" i="16"/>
  <c r="F25" i="16" s="1"/>
  <c r="G25" i="16" s="1"/>
  <c r="J27" i="16"/>
  <c r="F33" i="16" s="1"/>
  <c r="G33" i="16" s="1"/>
  <c r="N14" i="16"/>
  <c r="J10" i="16"/>
  <c r="N9" i="16"/>
  <c r="F12" i="16" s="1"/>
  <c r="J14" i="16" s="1"/>
  <c r="I47" i="14"/>
  <c r="J44" i="14" s="1"/>
  <c r="Q134" i="14"/>
  <c r="Q126" i="14"/>
  <c r="F41" i="14"/>
  <c r="Q106" i="14"/>
  <c r="Q76" i="14"/>
  <c r="Q34" i="14"/>
  <c r="Q19" i="14"/>
  <c r="C12" i="6"/>
  <c r="C30" i="14"/>
  <c r="Q3" i="14"/>
  <c r="C12" i="10"/>
  <c r="J25" i="12"/>
  <c r="F31" i="12" s="1"/>
  <c r="G31" i="12" s="1"/>
  <c r="J24" i="12"/>
  <c r="F27" i="12" s="1"/>
  <c r="G27" i="12" s="1"/>
  <c r="Q103" i="12"/>
  <c r="J26" i="12"/>
  <c r="F32" i="12" s="1"/>
  <c r="G32" i="12" s="1"/>
  <c r="J22" i="12"/>
  <c r="F25" i="12" s="1"/>
  <c r="G25" i="12" s="1"/>
  <c r="J10" i="14"/>
  <c r="N9" i="14"/>
  <c r="F12" i="14" s="1"/>
  <c r="F13" i="14" s="1"/>
  <c r="Q83" i="12"/>
  <c r="J28" i="12" s="1"/>
  <c r="K22" i="12" s="1"/>
  <c r="Q57" i="12"/>
  <c r="Q56" i="12" s="1"/>
  <c r="Q37" i="12"/>
  <c r="Q19" i="12"/>
  <c r="Q13" i="12"/>
  <c r="Q14" i="12" s="1"/>
  <c r="J10" i="12"/>
  <c r="Q9" i="12"/>
  <c r="J29" i="12" s="1"/>
  <c r="Q4" i="12"/>
  <c r="J23" i="12" s="1"/>
  <c r="Q3" i="12"/>
  <c r="J30" i="12" s="1"/>
  <c r="C12" i="12"/>
  <c r="N9" i="12"/>
  <c r="F12" i="12" s="1"/>
  <c r="F13" i="12" s="1"/>
  <c r="J30" i="10"/>
  <c r="F29" i="10" s="1"/>
  <c r="J29" i="10"/>
  <c r="F28" i="10" s="1"/>
  <c r="J28" i="10"/>
  <c r="K22" i="10" s="1"/>
  <c r="J27" i="10"/>
  <c r="F33" i="10" s="1"/>
  <c r="G33" i="10" s="1"/>
  <c r="J26" i="10"/>
  <c r="F32" i="10" s="1"/>
  <c r="G32" i="10" s="1"/>
  <c r="J25" i="10"/>
  <c r="F31" i="10" s="1"/>
  <c r="J24" i="10"/>
  <c r="F27" i="10" s="1"/>
  <c r="J23" i="10"/>
  <c r="F26" i="10" s="1"/>
  <c r="J22" i="10"/>
  <c r="F25" i="10" s="1"/>
  <c r="Q88" i="10"/>
  <c r="K37" i="6"/>
  <c r="N33" i="9"/>
  <c r="N35" i="9"/>
  <c r="Q83" i="10"/>
  <c r="L40" i="9"/>
  <c r="J30" i="9"/>
  <c r="F29" i="9" s="1"/>
  <c r="J29" i="9"/>
  <c r="F28" i="9" s="1"/>
  <c r="J28" i="9"/>
  <c r="K22" i="9" s="1"/>
  <c r="J27" i="9"/>
  <c r="F33" i="9" s="1"/>
  <c r="G33" i="9" s="1"/>
  <c r="J26" i="9"/>
  <c r="F32" i="9" s="1"/>
  <c r="G32" i="9" s="1"/>
  <c r="J25" i="9"/>
  <c r="F31" i="9" s="1"/>
  <c r="G31" i="9" s="1"/>
  <c r="J24" i="9"/>
  <c r="F27" i="9" s="1"/>
  <c r="J23" i="9"/>
  <c r="F26" i="9" s="1"/>
  <c r="J22" i="9"/>
  <c r="F25" i="9" s="1"/>
  <c r="G25" i="9" s="1"/>
  <c r="J10" i="10"/>
  <c r="N9" i="10"/>
  <c r="F12" i="10" s="1"/>
  <c r="F13" i="10" s="1"/>
  <c r="J10" i="9"/>
  <c r="C12" i="9"/>
  <c r="Q6" i="6"/>
  <c r="Q14" i="6"/>
  <c r="J30" i="6"/>
  <c r="F29" i="6" s="1"/>
  <c r="J29" i="6"/>
  <c r="F28" i="6" s="1"/>
  <c r="J28" i="6"/>
  <c r="K22" i="6" s="1"/>
  <c r="J27" i="6"/>
  <c r="F33" i="6" s="1"/>
  <c r="J26" i="6"/>
  <c r="F32" i="6" s="1"/>
  <c r="J25" i="6"/>
  <c r="F31" i="6" s="1"/>
  <c r="J24" i="6"/>
  <c r="F27" i="6" s="1"/>
  <c r="J23" i="6"/>
  <c r="J22" i="6"/>
  <c r="F25" i="6" s="1"/>
  <c r="N9" i="9"/>
  <c r="F12" i="9" s="1"/>
  <c r="F13" i="9" s="1"/>
  <c r="Q39" i="6"/>
  <c r="J16" i="6"/>
  <c r="J17" i="6" s="1"/>
  <c r="N9" i="6"/>
  <c r="F12" i="6" s="1"/>
  <c r="F13" i="6" s="1"/>
  <c r="N14" i="6"/>
  <c r="F26" i="23" l="1"/>
  <c r="C16" i="23"/>
  <c r="G31" i="23"/>
  <c r="G32" i="23"/>
  <c r="G28" i="23"/>
  <c r="G25" i="23"/>
  <c r="G26" i="23"/>
  <c r="G27" i="23"/>
  <c r="C27" i="23"/>
  <c r="F30" i="23" s="1"/>
  <c r="F33" i="23"/>
  <c r="F29" i="21"/>
  <c r="G29" i="21" s="1"/>
  <c r="G29" i="23" s="1"/>
  <c r="C27" i="21"/>
  <c r="F30" i="21" s="1"/>
  <c r="G30" i="21" s="1"/>
  <c r="F33" i="21"/>
  <c r="G33" i="21" s="1"/>
  <c r="F33" i="20"/>
  <c r="G33" i="20" s="1"/>
  <c r="C16" i="18"/>
  <c r="C27" i="18" s="1"/>
  <c r="F26" i="18"/>
  <c r="G26" i="18" s="1"/>
  <c r="I36" i="16"/>
  <c r="G27" i="18"/>
  <c r="G31" i="18"/>
  <c r="F33" i="18"/>
  <c r="G33" i="18" s="1"/>
  <c r="G16" i="16"/>
  <c r="C16" i="16"/>
  <c r="C27" i="16" s="1"/>
  <c r="F40" i="16" s="1"/>
  <c r="F26" i="14"/>
  <c r="F28" i="14"/>
  <c r="I41" i="14"/>
  <c r="J41" i="14" s="1"/>
  <c r="F33" i="14"/>
  <c r="G27" i="14"/>
  <c r="G31" i="14"/>
  <c r="F26" i="12"/>
  <c r="G26" i="12" s="1"/>
  <c r="F29" i="12"/>
  <c r="G29" i="12" s="1"/>
  <c r="G29" i="14" s="1"/>
  <c r="F28" i="12"/>
  <c r="G28" i="12" s="1"/>
  <c r="C16" i="14"/>
  <c r="C23" i="14" s="1"/>
  <c r="F24" i="14" s="1"/>
  <c r="G24" i="14" s="1"/>
  <c r="C16" i="12"/>
  <c r="F30" i="12" s="1"/>
  <c r="Q5" i="12"/>
  <c r="F24" i="12"/>
  <c r="G25" i="10"/>
  <c r="G31" i="10"/>
  <c r="C16" i="10"/>
  <c r="C16" i="9"/>
  <c r="G27" i="9"/>
  <c r="G27" i="10" s="1"/>
  <c r="G29" i="9"/>
  <c r="G29" i="10" s="1"/>
  <c r="G26" i="9"/>
  <c r="G26" i="10" s="1"/>
  <c r="G28" i="9"/>
  <c r="G28" i="10" s="1"/>
  <c r="C16" i="6"/>
  <c r="C23" i="6" s="1"/>
  <c r="F24" i="6" s="1"/>
  <c r="G33" i="23" l="1"/>
  <c r="F35" i="23"/>
  <c r="G30" i="23"/>
  <c r="K24" i="23"/>
  <c r="K24" i="21"/>
  <c r="F35" i="21"/>
  <c r="C27" i="20"/>
  <c r="F30" i="20" s="1"/>
  <c r="G30" i="20" s="1"/>
  <c r="F30" i="18"/>
  <c r="G30" i="18" s="1"/>
  <c r="G39" i="18" s="1"/>
  <c r="G41" i="18" s="1"/>
  <c r="C34" i="18"/>
  <c r="G26" i="14"/>
  <c r="G28" i="14"/>
  <c r="N13" i="12"/>
  <c r="C23" i="10"/>
  <c r="F24" i="10" s="1"/>
  <c r="J27" i="12"/>
  <c r="F33" i="12" s="1"/>
  <c r="G33" i="12" s="1"/>
  <c r="G33" i="14" s="1"/>
  <c r="C27" i="10"/>
  <c r="F30" i="10" s="1"/>
  <c r="C27" i="6"/>
  <c r="F30" i="6" s="1"/>
  <c r="F35" i="20" l="1"/>
  <c r="K24" i="20"/>
  <c r="F35" i="18"/>
  <c r="K24" i="18"/>
  <c r="K24" i="6"/>
  <c r="J34" i="6"/>
  <c r="K36" i="6" s="1"/>
  <c r="C27" i="14"/>
  <c r="F30" i="14" s="1"/>
  <c r="N14" i="14"/>
  <c r="N13" i="10"/>
  <c r="N14" i="12"/>
  <c r="K24" i="12"/>
  <c r="F35" i="12"/>
  <c r="K24" i="10"/>
  <c r="F35" i="10"/>
  <c r="F35" i="6"/>
  <c r="F30" i="16" l="1"/>
  <c r="K24" i="16" s="1"/>
  <c r="K24" i="14"/>
  <c r="F35" i="14"/>
  <c r="C23" i="9"/>
  <c r="F35" i="16" l="1"/>
  <c r="F24" i="9"/>
  <c r="C27" i="9"/>
  <c r="N13" i="9" l="1"/>
  <c r="N14" i="10"/>
  <c r="N14" i="9"/>
  <c r="G24" i="9"/>
  <c r="G24" i="10" s="1"/>
  <c r="F30" i="9"/>
  <c r="K24" i="9" s="1"/>
  <c r="G24" i="12" l="1"/>
  <c r="G30" i="9"/>
  <c r="K34" i="9" s="1"/>
  <c r="F35" i="9"/>
  <c r="G30" i="10" l="1"/>
  <c r="G30" i="12" l="1"/>
  <c r="G30" i="14" s="1"/>
  <c r="G30" i="16" s="1"/>
  <c r="I40" i="16" l="1"/>
  <c r="I43" i="16" s="1"/>
  <c r="I38" i="16" s="1"/>
  <c r="J42" i="16" s="1"/>
  <c r="N33" i="14"/>
  <c r="N41" i="14" s="1"/>
  <c r="M32" i="16"/>
  <c r="M33" i="16" s="1"/>
  <c r="J34" i="14"/>
  <c r="L30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Guilherme</author>
  </authors>
  <commentList>
    <comment ref="K34" authorId="0" shapeId="0" xr:uid="{4A643D4C-27A4-4707-B04E-C5B400FF1A44}">
      <text>
        <r>
          <rPr>
            <b/>
            <sz val="9"/>
            <color indexed="81"/>
            <rFont val="Segoe UI"/>
            <charset val="1"/>
          </rPr>
          <t>João Guilherme:</t>
        </r>
        <r>
          <rPr>
            <sz val="9"/>
            <color indexed="81"/>
            <rFont val="Segoe UI"/>
            <charset val="1"/>
          </rPr>
          <t xml:space="preserve">
O valor que deveríamos ter é esse
</t>
        </r>
      </text>
    </comment>
    <comment ref="F35" authorId="0" shapeId="0" xr:uid="{8C537D6A-CBFD-45C7-865D-B3887871B551}">
      <text>
        <r>
          <rPr>
            <b/>
            <sz val="9"/>
            <color indexed="81"/>
            <rFont val="Segoe UI"/>
            <family val="2"/>
          </rPr>
          <t>João Guilherme:</t>
        </r>
        <r>
          <rPr>
            <sz val="9"/>
            <color indexed="81"/>
            <rFont val="Segoe UI"/>
            <family val="2"/>
          </rPr>
          <t xml:space="preserve">
Foi contabilizado 60 reais a mais nesse valor, referente ao saldo positivo de agosto.</t>
        </r>
      </text>
    </comment>
    <comment ref="N35" authorId="0" shapeId="0" xr:uid="{BD9E4408-0CBF-4F3A-A4C4-CF12F4FA3B68}">
      <text>
        <r>
          <rPr>
            <b/>
            <sz val="9"/>
            <color indexed="81"/>
            <rFont val="Segoe UI"/>
            <family val="2"/>
          </rPr>
          <t>João Guilherme:</t>
        </r>
        <r>
          <rPr>
            <sz val="9"/>
            <color indexed="81"/>
            <rFont val="Segoe UI"/>
            <family val="2"/>
          </rPr>
          <t xml:space="preserve">
Temos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Guilherme</author>
  </authors>
  <commentList>
    <comment ref="F35" authorId="0" shapeId="0" xr:uid="{4F06D60E-A8A0-4644-A1C7-332C8CBCC0B1}">
      <text>
        <r>
          <rPr>
            <b/>
            <sz val="9"/>
            <color indexed="81"/>
            <rFont val="Segoe UI"/>
            <family val="2"/>
          </rPr>
          <t>João Guilherme:</t>
        </r>
        <r>
          <rPr>
            <sz val="9"/>
            <color indexed="81"/>
            <rFont val="Segoe UI"/>
            <family val="2"/>
          </rPr>
          <t xml:space="preserve">
Foi contabilizado 60 reais a mais nesse valor, referente ao saldo positivo de agosto.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Guilherme</author>
  </authors>
  <commentList>
    <comment ref="C27" authorId="0" shapeId="0" xr:uid="{EAD4BD68-8250-47B9-AB45-A93DB4178107}">
      <text>
        <r>
          <rPr>
            <b/>
            <sz val="9"/>
            <color indexed="81"/>
            <rFont val="Segoe UI"/>
            <charset val="1"/>
          </rPr>
          <t>João Guilherme:</t>
        </r>
        <r>
          <rPr>
            <sz val="9"/>
            <color indexed="81"/>
            <rFont val="Segoe UI"/>
            <charset val="1"/>
          </rPr>
          <t xml:space="preserve">
100 Reais retirado apenas esse Mês para a gasolina
</t>
        </r>
      </text>
    </comment>
    <comment ref="C29" authorId="0" shapeId="0" xr:uid="{65BC48DE-409B-4097-B509-468587AF6293}">
      <text>
        <r>
          <rPr>
            <b/>
            <sz val="9"/>
            <color indexed="81"/>
            <rFont val="Segoe UI"/>
            <charset val="1"/>
          </rPr>
          <t>João Guilherme:</t>
        </r>
        <r>
          <rPr>
            <sz val="9"/>
            <color indexed="81"/>
            <rFont val="Segoe UI"/>
            <charset val="1"/>
          </rPr>
          <t xml:space="preserve">
100 Reais adicionado para a gasolina, próximo mês voltar a 200
</t>
        </r>
      </text>
    </comment>
    <comment ref="F35" authorId="0" shapeId="0" xr:uid="{B114177A-FA41-4ED8-95AB-AB84A663934F}">
      <text>
        <r>
          <rPr>
            <b/>
            <sz val="9"/>
            <color indexed="81"/>
            <rFont val="Segoe UI"/>
            <family val="2"/>
          </rPr>
          <t>João Guilherme:</t>
        </r>
        <r>
          <rPr>
            <sz val="9"/>
            <color indexed="81"/>
            <rFont val="Segoe UI"/>
            <family val="2"/>
          </rPr>
          <t xml:space="preserve">
Foi contabilizado 60 reais a mais nesse valor, referente ao saldo positivo de agosto.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Guilherme</author>
  </authors>
  <commentList>
    <comment ref="C30" authorId="0" shapeId="0" xr:uid="{FB484422-83AC-45CF-976F-9D1DF6407A0D}">
      <text>
        <r>
          <rPr>
            <b/>
            <sz val="9"/>
            <color indexed="81"/>
            <rFont val="Segoe UI"/>
            <family val="2"/>
          </rPr>
          <t>João Guilherme:</t>
        </r>
        <r>
          <rPr>
            <sz val="9"/>
            <color indexed="81"/>
            <rFont val="Segoe UI"/>
            <family val="2"/>
          </rPr>
          <t xml:space="preserve">
Foi adicionado 400 do Décimo para compensar mercado negativo do mês passado</t>
        </r>
      </text>
    </comment>
    <comment ref="K38" authorId="0" shapeId="0" xr:uid="{B826E7CD-D021-4497-92D2-2C39FA2FDBE4}">
      <text>
        <r>
          <rPr>
            <b/>
            <sz val="9"/>
            <color indexed="81"/>
            <rFont val="Segoe UI"/>
            <charset val="1"/>
          </rPr>
          <t>João Guilherme:</t>
        </r>
        <r>
          <rPr>
            <sz val="9"/>
            <color indexed="81"/>
            <rFont val="Segoe UI"/>
            <charset val="1"/>
          </rPr>
          <t xml:space="preserve">
Total somado do décimo que sobrou + Ifood - 300 que coloquei no inter
</t>
        </r>
      </text>
    </comment>
    <comment ref="P40" authorId="0" shapeId="0" xr:uid="{25373DA3-CA39-461A-B101-EDC72499939A}">
      <text>
        <r>
          <rPr>
            <b/>
            <sz val="9"/>
            <color indexed="81"/>
            <rFont val="Segoe UI"/>
            <charset val="1"/>
          </rPr>
          <t>João Guilherme:</t>
        </r>
        <r>
          <rPr>
            <sz val="9"/>
            <color indexed="81"/>
            <rFont val="Segoe UI"/>
            <charset val="1"/>
          </rPr>
          <t xml:space="preserve">
135 adicionado ao Extra por conta do discidio.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Guilherme</author>
  </authors>
  <commentList>
    <comment ref="F30" authorId="0" shapeId="0" xr:uid="{6D4F9537-7CE1-4391-8C41-5D8963F66789}">
      <text>
        <r>
          <rPr>
            <b/>
            <sz val="9"/>
            <color indexed="81"/>
            <rFont val="Segoe UI"/>
            <family val="2"/>
          </rPr>
          <t>João Guilherme:</t>
        </r>
        <r>
          <rPr>
            <sz val="9"/>
            <color indexed="81"/>
            <rFont val="Segoe UI"/>
            <family val="2"/>
          </rPr>
          <t xml:space="preserve">
Tiramos 
* R$ 800,00 do extra para pagar a LATAM e não precisar mexer no que está guardado;
* R$ 400,00 do extra para lazer</t>
        </r>
      </text>
    </comment>
  </commentList>
</comments>
</file>

<file path=xl/sharedStrings.xml><?xml version="1.0" encoding="utf-8"?>
<sst xmlns="http://schemas.openxmlformats.org/spreadsheetml/2006/main" count="3387" uniqueCount="718">
  <si>
    <t>Fundos</t>
  </si>
  <si>
    <t>Custos fixos</t>
  </si>
  <si>
    <t>NETFLIX</t>
  </si>
  <si>
    <t>Kindle</t>
  </si>
  <si>
    <t>Apartamento</t>
  </si>
  <si>
    <t>PC</t>
  </si>
  <si>
    <t>Moto</t>
  </si>
  <si>
    <t>Spotfy</t>
  </si>
  <si>
    <t>Skin</t>
  </si>
  <si>
    <t>Condomínio</t>
  </si>
  <si>
    <t>TV</t>
  </si>
  <si>
    <t>Placa de vídeo</t>
  </si>
  <si>
    <t>Internet</t>
  </si>
  <si>
    <t>Apple</t>
  </si>
  <si>
    <t>Óculos</t>
  </si>
  <si>
    <t>Alimentação</t>
  </si>
  <si>
    <t>Luz</t>
  </si>
  <si>
    <t>Armazenamento</t>
  </si>
  <si>
    <t>Jogo</t>
  </si>
  <si>
    <t>Nesco</t>
  </si>
  <si>
    <t>TOTAL</t>
  </si>
  <si>
    <t>Gasolina / Óleo</t>
  </si>
  <si>
    <t>Crédito Cel</t>
  </si>
  <si>
    <t>Compras do mês</t>
  </si>
  <si>
    <t>Planos</t>
  </si>
  <si>
    <t>DIgaspi</t>
  </si>
  <si>
    <t>Cartão crédito</t>
  </si>
  <si>
    <t>Valores</t>
  </si>
  <si>
    <t>Parcelas</t>
  </si>
  <si>
    <t>Restante</t>
  </si>
  <si>
    <t xml:space="preserve">Disponibilidade atual </t>
  </si>
  <si>
    <t>Investimentos</t>
  </si>
  <si>
    <t>Casa</t>
  </si>
  <si>
    <t>Lazer</t>
  </si>
  <si>
    <t>Roupas</t>
  </si>
  <si>
    <t>Extras</t>
  </si>
  <si>
    <t>Data</t>
  </si>
  <si>
    <t>Motivo</t>
  </si>
  <si>
    <t>Gastos atuais</t>
  </si>
  <si>
    <t>-</t>
  </si>
  <si>
    <t>Meta de investimentos</t>
  </si>
  <si>
    <t xml:space="preserve">Meta   </t>
  </si>
  <si>
    <t>Guardado</t>
  </si>
  <si>
    <t>Vale dia 15</t>
  </si>
  <si>
    <t>Pgmnto dia 30</t>
  </si>
  <si>
    <t>Instant Gaming</t>
  </si>
  <si>
    <t>Pamela</t>
  </si>
  <si>
    <t>Shibata</t>
  </si>
  <si>
    <t>Chiquinho</t>
  </si>
  <si>
    <t>IOF</t>
  </si>
  <si>
    <t>Compras do Mês</t>
  </si>
  <si>
    <t>Doce e salgadinho</t>
  </si>
  <si>
    <t>Uber</t>
  </si>
  <si>
    <t>PLR</t>
  </si>
  <si>
    <t>IR</t>
  </si>
  <si>
    <t>Comissão</t>
  </si>
  <si>
    <t>Vale dia 20</t>
  </si>
  <si>
    <t>Bebidas</t>
  </si>
  <si>
    <t>Bobeirinhas J</t>
  </si>
  <si>
    <t>Bobeirinhas V</t>
  </si>
  <si>
    <t>Gastos atuais detalhados</t>
  </si>
  <si>
    <t>Compra mercado</t>
  </si>
  <si>
    <t>Distribuição fixa</t>
  </si>
  <si>
    <t>Pgmnto 5º Dia útil</t>
  </si>
  <si>
    <t>Faltam</t>
  </si>
  <si>
    <t>Acumulado</t>
  </si>
  <si>
    <t>Pães</t>
  </si>
  <si>
    <t>Gasolina</t>
  </si>
  <si>
    <t>Pães e mortadela</t>
  </si>
  <si>
    <t>Doces</t>
  </si>
  <si>
    <t>Cerv / Salam / Amend</t>
  </si>
  <si>
    <t>Frango / Ovos mercado</t>
  </si>
  <si>
    <t>salgadinho/doce</t>
  </si>
  <si>
    <t>torta</t>
  </si>
  <si>
    <t>Ração + Areia</t>
  </si>
  <si>
    <t>Mercadinho cond.</t>
  </si>
  <si>
    <t>Coca mercadinho</t>
  </si>
  <si>
    <t>Doce fábrica</t>
  </si>
  <si>
    <t>Lanche</t>
  </si>
  <si>
    <t>Valor disponível distrib.</t>
  </si>
  <si>
    <t>Dia dos Pais Vitória</t>
  </si>
  <si>
    <t>Doce</t>
  </si>
  <si>
    <t>Mistura</t>
  </si>
  <si>
    <t>Miojo + salgadinhos</t>
  </si>
  <si>
    <t>Torta + Salgados</t>
  </si>
  <si>
    <t>Barbeiro</t>
  </si>
  <si>
    <t>Café formatura</t>
  </si>
  <si>
    <t>Estacionam. Shop</t>
  </si>
  <si>
    <t>Presente formatura</t>
  </si>
  <si>
    <t>Camisinha</t>
  </si>
  <si>
    <t>Pão quentinho</t>
  </si>
  <si>
    <t>Cheirinho da cozinha</t>
  </si>
  <si>
    <t>Papel Higienico</t>
  </si>
  <si>
    <t>Ingredientes lanche + doce</t>
  </si>
  <si>
    <t>Ovos e frutas</t>
  </si>
  <si>
    <t>fini</t>
  </si>
  <si>
    <t>Cerveja</t>
  </si>
  <si>
    <t>Cerveja / Chop</t>
  </si>
  <si>
    <t>Pastilha</t>
  </si>
  <si>
    <t>Salgado</t>
  </si>
  <si>
    <t>Marmitex</t>
  </si>
  <si>
    <t>Pastel</t>
  </si>
  <si>
    <t>Açai</t>
  </si>
  <si>
    <t>Porção + bebida</t>
  </si>
  <si>
    <t>Bolo</t>
  </si>
  <si>
    <t>Crédito</t>
  </si>
  <si>
    <t>Lasanha + nuggets</t>
  </si>
  <si>
    <t>.</t>
  </si>
  <si>
    <t>Fruta + ovo</t>
  </si>
  <si>
    <t>Coca + morangos</t>
  </si>
  <si>
    <t>Bobeiras</t>
  </si>
  <si>
    <t>Mercado Absorv.</t>
  </si>
  <si>
    <t>Saldo de agosto</t>
  </si>
  <si>
    <t>Perfume</t>
  </si>
  <si>
    <t>Renner</t>
  </si>
  <si>
    <t>Café cocô</t>
  </si>
  <si>
    <t>Compras</t>
  </si>
  <si>
    <t>Temperos</t>
  </si>
  <si>
    <t>Brigadeiro morango</t>
  </si>
  <si>
    <t>Coca cola</t>
  </si>
  <si>
    <t>Spoleto</t>
  </si>
  <si>
    <t>Parmegiana</t>
  </si>
  <si>
    <t>Pare bem</t>
  </si>
  <si>
    <t>Doce goiabinha eron</t>
  </si>
  <si>
    <t>Ração</t>
  </si>
  <si>
    <t>Frango, lasanha e etc</t>
  </si>
  <si>
    <t>Fone</t>
  </si>
  <si>
    <t>Prova de exame</t>
  </si>
  <si>
    <t>Mãe</t>
  </si>
  <si>
    <t>Jantar Fratelli</t>
  </si>
  <si>
    <t>óleo da moto</t>
  </si>
  <si>
    <t>Pizza</t>
  </si>
  <si>
    <t>Coca-cola</t>
  </si>
  <si>
    <t>Energetico</t>
  </si>
  <si>
    <t>Doce de leite</t>
  </si>
  <si>
    <t>Coca trabalho</t>
  </si>
  <si>
    <t>Jantar shopping</t>
  </si>
  <si>
    <t>Bolsa marmita</t>
  </si>
  <si>
    <t>Mercado</t>
  </si>
  <si>
    <t>Abobrinha + ovo + brocolis</t>
  </si>
  <si>
    <t>Diferença luz</t>
  </si>
  <si>
    <t>Cinema</t>
  </si>
  <si>
    <t>Coca cola cinema</t>
  </si>
  <si>
    <t>Americanas cinema</t>
  </si>
  <si>
    <t>Estacionamento</t>
  </si>
  <si>
    <t>Fábulas Café</t>
  </si>
  <si>
    <t xml:space="preserve">Marmitex ifood vitoria </t>
  </si>
  <si>
    <t>Cervejas Shibata</t>
  </si>
  <si>
    <t>Uber chave</t>
  </si>
  <si>
    <t>Açaí</t>
  </si>
  <si>
    <t>Coca cola trabalho</t>
  </si>
  <si>
    <t>Docinho</t>
  </si>
  <si>
    <t>Bobeirinhas mercado</t>
  </si>
  <si>
    <t xml:space="preserve">docinho </t>
  </si>
  <si>
    <t>Chop vinho</t>
  </si>
  <si>
    <t>Skin joy ( ver onde lançar)</t>
  </si>
  <si>
    <t>Doce Vitória</t>
  </si>
  <si>
    <t>shopee</t>
  </si>
  <si>
    <t>Remédio</t>
  </si>
  <si>
    <t>Cup noodles + bolinhos</t>
  </si>
  <si>
    <t>Salgado padaria</t>
  </si>
  <si>
    <t>Chocolate + absorv</t>
  </si>
  <si>
    <t>Coxinha</t>
  </si>
  <si>
    <t>Absorvente</t>
  </si>
  <si>
    <t>Bolinhos + Cupnoodles</t>
  </si>
  <si>
    <t>Cerveja fabrica</t>
  </si>
  <si>
    <t>Salsicha + Coca</t>
  </si>
  <si>
    <t>Cabelo + barba</t>
  </si>
  <si>
    <t>2 Marmitex</t>
  </si>
  <si>
    <t>João</t>
  </si>
  <si>
    <t>Vitória</t>
  </si>
  <si>
    <t>Saldo de setembro</t>
  </si>
  <si>
    <t>Coluna1</t>
  </si>
  <si>
    <t>Servidor</t>
  </si>
  <si>
    <t>Compras Tauste</t>
  </si>
  <si>
    <t>Compras Shibat</t>
  </si>
  <si>
    <t>Mercadinho cervejas</t>
  </si>
  <si>
    <t>Trufa</t>
  </si>
  <si>
    <t>Dona Tina</t>
  </si>
  <si>
    <t>Gasolina+sorvete</t>
  </si>
  <si>
    <t>docinho</t>
  </si>
  <si>
    <t>Chop com meu pai</t>
  </si>
  <si>
    <t>Mobile</t>
  </si>
  <si>
    <t>Doce Eron</t>
  </si>
  <si>
    <t>Coca + Doces</t>
  </si>
  <si>
    <t>Pipoca teatro</t>
  </si>
  <si>
    <t>Milshake + estacionamento</t>
  </si>
  <si>
    <t>Cerveja + salgadinhos</t>
  </si>
  <si>
    <t xml:space="preserve">Coisas hot dog ++ </t>
  </si>
  <si>
    <t>retrovisor fabrica</t>
  </si>
  <si>
    <t>Coca cola fabrica</t>
  </si>
  <si>
    <t xml:space="preserve">Mercadinho </t>
  </si>
  <si>
    <t>bebida e porção</t>
  </si>
  <si>
    <t>Biz</t>
  </si>
  <si>
    <t>Doce chocomania</t>
  </si>
  <si>
    <t>granola</t>
  </si>
  <si>
    <t>Areia e ração</t>
  </si>
  <si>
    <t>Salgados</t>
  </si>
  <si>
    <t>Tenis</t>
  </si>
  <si>
    <t>Coxinha deliciosa</t>
  </si>
  <si>
    <t>Óleo</t>
  </si>
  <si>
    <t>Chopp</t>
  </si>
  <si>
    <t>BK + chiquinho</t>
  </si>
  <si>
    <t>Mc flurry</t>
  </si>
  <si>
    <t>Manolo</t>
  </si>
  <si>
    <t>Mercadinho chop + miojo</t>
  </si>
  <si>
    <t>Mercadinho</t>
  </si>
  <si>
    <t>luigui</t>
  </si>
  <si>
    <t>excedente da luz</t>
  </si>
  <si>
    <t>uber</t>
  </si>
  <si>
    <t>sorvete</t>
  </si>
  <si>
    <t>calças</t>
  </si>
  <si>
    <t>pastel (não tinha comida)</t>
  </si>
  <si>
    <t xml:space="preserve">pão para hamburguer </t>
  </si>
  <si>
    <t>snickers e tubes</t>
  </si>
  <si>
    <t>Baguete + refri</t>
  </si>
  <si>
    <t>Estacionamento pinda + taub</t>
  </si>
  <si>
    <t>Rosa</t>
  </si>
  <si>
    <t>Doce eron</t>
  </si>
  <si>
    <t>esfiha</t>
  </si>
  <si>
    <t>compras</t>
  </si>
  <si>
    <t>coca</t>
  </si>
  <si>
    <t>hotdog</t>
  </si>
  <si>
    <t>gasolina</t>
  </si>
  <si>
    <t>pré pago</t>
  </si>
  <si>
    <t>faculdade</t>
  </si>
  <si>
    <t>Celular</t>
  </si>
  <si>
    <t>anuidade santander</t>
  </si>
  <si>
    <t xml:space="preserve">concerto moto </t>
  </si>
  <si>
    <t xml:space="preserve">cheirinho </t>
  </si>
  <si>
    <t>pão com salcicha</t>
  </si>
  <si>
    <t>Leite</t>
  </si>
  <si>
    <t>Coca + Bis</t>
  </si>
  <si>
    <t>Gemini</t>
  </si>
  <si>
    <t>Mensal</t>
  </si>
  <si>
    <t>Salgados COSE</t>
  </si>
  <si>
    <t>Salame + queijos e etc</t>
  </si>
  <si>
    <t>Compra</t>
  </si>
  <si>
    <t>Bolinho</t>
  </si>
  <si>
    <t>TOTAL disp</t>
  </si>
  <si>
    <t>contrafile + castanha</t>
  </si>
  <si>
    <t>vinho</t>
  </si>
  <si>
    <t>amstel</t>
  </si>
  <si>
    <t>churu</t>
  </si>
  <si>
    <t>bolo</t>
  </si>
  <si>
    <t>remedio</t>
  </si>
  <si>
    <t>lanche</t>
  </si>
  <si>
    <t>chop e porções</t>
  </si>
  <si>
    <t>Cabelo + Shampoo</t>
  </si>
  <si>
    <t>Cerveja + Bolinho</t>
  </si>
  <si>
    <t>Aposta</t>
  </si>
  <si>
    <t>Bolinho de queijo</t>
  </si>
  <si>
    <t>Chocolate</t>
  </si>
  <si>
    <t>Torta + Doce padaria</t>
  </si>
  <si>
    <t>Cesta Nádia</t>
  </si>
  <si>
    <t>Compras da semana</t>
  </si>
  <si>
    <t>uber para Uninter</t>
  </si>
  <si>
    <t>Entrada creixe</t>
  </si>
  <si>
    <t>Bebidas creixe (conferir)</t>
  </si>
  <si>
    <t>Dona tina (conferir)</t>
  </si>
  <si>
    <t>Coisas para casa natal</t>
  </si>
  <si>
    <t>Coca</t>
  </si>
  <si>
    <t>Pão</t>
  </si>
  <si>
    <t>Mulher e vida</t>
  </si>
  <si>
    <t>Mobile skin</t>
  </si>
  <si>
    <t>entrega açai</t>
  </si>
  <si>
    <t>luz</t>
  </si>
  <si>
    <t>açai</t>
  </si>
  <si>
    <t>marmita</t>
  </si>
  <si>
    <t>Café</t>
  </si>
  <si>
    <t>lazer</t>
  </si>
  <si>
    <t>vinho e petiscos</t>
  </si>
  <si>
    <t>batata</t>
  </si>
  <si>
    <t>Cup noodles</t>
  </si>
  <si>
    <t>Coca fábrica</t>
  </si>
  <si>
    <t>Padaria + bolo</t>
  </si>
  <si>
    <t>Pipoca</t>
  </si>
  <si>
    <t>jogado para o extra</t>
  </si>
  <si>
    <t>excedente compras</t>
  </si>
  <si>
    <t>Bombom</t>
  </si>
  <si>
    <t>coco</t>
  </si>
  <si>
    <t>mcflurry</t>
  </si>
  <si>
    <t>água+sorvete</t>
  </si>
  <si>
    <t>comida japonesa</t>
  </si>
  <si>
    <t>BK</t>
  </si>
  <si>
    <t>moto</t>
  </si>
  <si>
    <t>cacau show</t>
  </si>
  <si>
    <t>pizzaria</t>
  </si>
  <si>
    <t>coxinha</t>
  </si>
  <si>
    <t>sorvete e docinho</t>
  </si>
  <si>
    <t>Academia</t>
  </si>
  <si>
    <t>Whey</t>
  </si>
  <si>
    <t>Pão + leite ( Mercad )</t>
  </si>
  <si>
    <t>Ovos + frutas ( Mercado )</t>
  </si>
  <si>
    <t>Sushi</t>
  </si>
  <si>
    <t>Décimo</t>
  </si>
  <si>
    <t>Trabalho</t>
  </si>
  <si>
    <t>Almoço</t>
  </si>
  <si>
    <t>Coca + Queijo</t>
  </si>
  <si>
    <t>Teste</t>
  </si>
  <si>
    <t>Banco XP</t>
  </si>
  <si>
    <t>Vaquinha fabrica</t>
  </si>
  <si>
    <t>Agua César</t>
  </si>
  <si>
    <t>Padaria Santa luzia</t>
  </si>
  <si>
    <t xml:space="preserve">Roupas </t>
  </si>
  <si>
    <t xml:space="preserve">Centro cidade </t>
  </si>
  <si>
    <t>Sobrancelha</t>
  </si>
  <si>
    <t>Uninter</t>
  </si>
  <si>
    <t>Ednéia</t>
  </si>
  <si>
    <t>Vitamina</t>
  </si>
  <si>
    <t>Compras + Itens de casa</t>
  </si>
  <si>
    <t>Mercado Chalé</t>
  </si>
  <si>
    <t>Bruno personal</t>
  </si>
  <si>
    <t>Doce fabrica</t>
  </si>
  <si>
    <t>Prova</t>
  </si>
  <si>
    <t>Discidio</t>
  </si>
  <si>
    <t>Chalé</t>
  </si>
  <si>
    <t>O chalé foi 567. Nós pegamos 391 do investimento, e adicionamos no extra. Tiramos 391 do Extra novamente, para pagar parte do chalé. Faltou 176, nós dividimos em dois e cada um pagou 88 da bobeirinha</t>
  </si>
  <si>
    <t>balancinha, pilha e durex</t>
  </si>
  <si>
    <t xml:space="preserve">compra    </t>
  </si>
  <si>
    <t>adicionado do jogo</t>
  </si>
  <si>
    <t>Cabelo</t>
  </si>
  <si>
    <t>Baguete</t>
  </si>
  <si>
    <t>Vinhos e mercado</t>
  </si>
  <si>
    <t>Mercado shibata</t>
  </si>
  <si>
    <t>água</t>
  </si>
  <si>
    <t>Unha</t>
  </si>
  <si>
    <t>Luz excedente</t>
  </si>
  <si>
    <t>Marmita</t>
  </si>
  <si>
    <t>passagem</t>
  </si>
  <si>
    <t>emporio benta</t>
  </si>
  <si>
    <t>baguetes e bolo</t>
  </si>
  <si>
    <t>Doces centro</t>
  </si>
  <si>
    <t>Lugui choperia</t>
  </si>
  <si>
    <t>passagem do dia 16 a 19/12</t>
  </si>
  <si>
    <t>passagem para a Julia</t>
  </si>
  <si>
    <t>(retirado 2° parcela do decimo para não ficar negativo</t>
  </si>
  <si>
    <t>Jaque</t>
  </si>
  <si>
    <t>Supermercado</t>
  </si>
  <si>
    <t>pipoca</t>
  </si>
  <si>
    <t>doce</t>
  </si>
  <si>
    <t>Sutiã</t>
  </si>
  <si>
    <t>Teddy (itens para casa)</t>
  </si>
  <si>
    <t>Shampo + condicionador</t>
  </si>
  <si>
    <t xml:space="preserve">Cerveja João </t>
  </si>
  <si>
    <t xml:space="preserve">Torta João </t>
  </si>
  <si>
    <t>Pneu</t>
  </si>
  <si>
    <t>Compras natal</t>
  </si>
  <si>
    <t>Subway</t>
  </si>
  <si>
    <t xml:space="preserve">Mercado Saudavel </t>
  </si>
  <si>
    <t>Chocolate mongol</t>
  </si>
  <si>
    <t>Gasolina moto</t>
  </si>
  <si>
    <t>Chocolates amigo chocolate</t>
  </si>
  <si>
    <t>Morangos natal</t>
  </si>
  <si>
    <t>IPVA + Licenciamento MOTO</t>
  </si>
  <si>
    <t>Mão de obra para trocar pneu</t>
  </si>
  <si>
    <t>Vaquinha Bolão osvaldo</t>
  </si>
  <si>
    <t>Camisola</t>
  </si>
  <si>
    <t>Hidromel</t>
  </si>
  <si>
    <t>Almoço Olívia</t>
  </si>
  <si>
    <t>Empada</t>
  </si>
  <si>
    <t>Areia Nesco</t>
  </si>
  <si>
    <t>Renan Vaquinha bolão</t>
  </si>
  <si>
    <t>Saldo restante</t>
  </si>
  <si>
    <t>Saldo Vale alim</t>
  </si>
  <si>
    <t>DécimoT</t>
  </si>
  <si>
    <t>Natal</t>
  </si>
  <si>
    <t>Lacinho natal</t>
  </si>
  <si>
    <t>Saldo gasto</t>
  </si>
  <si>
    <t>LIVRE</t>
  </si>
  <si>
    <t>Natura</t>
  </si>
  <si>
    <t>Torta</t>
  </si>
  <si>
    <t>Nutri Yasmim</t>
  </si>
  <si>
    <t>Uber p/ tirar sangue</t>
  </si>
  <si>
    <t>diferença bermuda</t>
  </si>
  <si>
    <t>diferença vestido</t>
  </si>
  <si>
    <t>whey</t>
  </si>
  <si>
    <t>Cacau show</t>
  </si>
  <si>
    <t>Presente para meu pai</t>
  </si>
  <si>
    <t>Saldo décimo João</t>
  </si>
  <si>
    <t>Saldo décimo Vitória</t>
  </si>
  <si>
    <t>Saldo excedente Vitória</t>
  </si>
  <si>
    <t>Décimo Vitória</t>
  </si>
  <si>
    <t>Excedente Vitória</t>
  </si>
  <si>
    <t>Reposição décimo</t>
  </si>
  <si>
    <t>Salgados tremembe</t>
  </si>
  <si>
    <t>Itens peixe</t>
  </si>
  <si>
    <t>Freio moto</t>
  </si>
  <si>
    <t>CasaBoa</t>
  </si>
  <si>
    <t>V.z.z.n Santos</t>
  </si>
  <si>
    <t>The Witcher</t>
  </si>
  <si>
    <t>Dead by daylight</t>
  </si>
  <si>
    <t>subway</t>
  </si>
  <si>
    <t>marmitex</t>
  </si>
  <si>
    <t>Café Lau</t>
  </si>
  <si>
    <t>Sorvete</t>
  </si>
  <si>
    <t>Agua Maximo</t>
  </si>
  <si>
    <t>Batom</t>
  </si>
  <si>
    <t>Manicure</t>
  </si>
  <si>
    <t>Padaria Panedoro</t>
  </si>
  <si>
    <t>Apostas</t>
  </si>
  <si>
    <t>Croch</t>
  </si>
  <si>
    <t>Décimo ( Restante )</t>
  </si>
  <si>
    <t>Deficit mês anterior</t>
  </si>
  <si>
    <t>Costela Lagoa</t>
  </si>
  <si>
    <t>Frateli</t>
  </si>
  <si>
    <t>Livro</t>
  </si>
  <si>
    <t>Santander</t>
  </si>
  <si>
    <t>Mercado ( Natal )</t>
  </si>
  <si>
    <t>Natal André</t>
  </si>
  <si>
    <t>GymPass</t>
  </si>
  <si>
    <t>Roupa academia</t>
  </si>
  <si>
    <t>CoopNoodles</t>
  </si>
  <si>
    <t>Floricultura</t>
  </si>
  <si>
    <t>Café torta</t>
  </si>
  <si>
    <t>Pare Bem</t>
  </si>
  <si>
    <t>Gastos Cartão crédito LATAM</t>
  </si>
  <si>
    <t>Método</t>
  </si>
  <si>
    <t>LATAM</t>
  </si>
  <si>
    <t>Guardar para fatura TOTAL</t>
  </si>
  <si>
    <t>INTERNET</t>
  </si>
  <si>
    <t>SANTANDER</t>
  </si>
  <si>
    <t>SUSHI</t>
  </si>
  <si>
    <t xml:space="preserve">SUSHI BIEL </t>
  </si>
  <si>
    <t>Usado para caixa</t>
  </si>
  <si>
    <t>Restante disponível</t>
  </si>
  <si>
    <t>Presente mae</t>
  </si>
  <si>
    <t>KFC</t>
  </si>
  <si>
    <t>agenda</t>
  </si>
  <si>
    <t>Mercado baguete e coisas pra comer</t>
  </si>
  <si>
    <t>Débito não sei oq</t>
  </si>
  <si>
    <t>Mulher e vida doação</t>
  </si>
  <si>
    <t>Coca cola mercadinho</t>
  </si>
  <si>
    <t>Brooks lanches</t>
  </si>
  <si>
    <t>2 Coxinhas padaria</t>
  </si>
  <si>
    <t>Nhô queijo shibata</t>
  </si>
  <si>
    <t>Lichias no mercado e etc</t>
  </si>
  <si>
    <t>prova</t>
  </si>
  <si>
    <t>doritos + doce</t>
  </si>
  <si>
    <t xml:space="preserve">diferença da luz </t>
  </si>
  <si>
    <t>Oóleo moto</t>
  </si>
  <si>
    <t xml:space="preserve">Café </t>
  </si>
  <si>
    <t>HotDog e cervejas</t>
  </si>
  <si>
    <t>Gemas Guild wars</t>
  </si>
  <si>
    <t>Choperia comemorar facul</t>
  </si>
  <si>
    <t>guarda chuva</t>
  </si>
  <si>
    <t>não lembro mas foi no mercadinho</t>
  </si>
  <si>
    <t>Queijo e pamonha café</t>
  </si>
  <si>
    <t>Café santa luzia</t>
  </si>
  <si>
    <t>diferença de passagem</t>
  </si>
  <si>
    <t>extras</t>
  </si>
  <si>
    <t>Sorvete fabrica</t>
  </si>
  <si>
    <t>(Uber 26 a 30 de janeiro)</t>
  </si>
  <si>
    <t>(passagens 26 a 30 de janeiro)</t>
  </si>
  <si>
    <t>Ovo</t>
  </si>
  <si>
    <t>snickers</t>
  </si>
  <si>
    <t>mentos</t>
  </si>
  <si>
    <t>absorvente</t>
  </si>
  <si>
    <t>21/01/</t>
  </si>
  <si>
    <t>Plano</t>
  </si>
  <si>
    <t>1 - TODO GASTO DEVERÁ SER CONTABILZADO DIARIAMENTE NO GRUPO</t>
  </si>
  <si>
    <t>2 - NO FINAL DO DIA AMBOS DEVERÃO COLOCAR NO GRUPO O SALDO ATUAL DO BANCO</t>
  </si>
  <si>
    <t>REGRAS INEGOCIÁVEIS</t>
  </si>
  <si>
    <t>sexta de comidinhas</t>
  </si>
  <si>
    <t>Chalé campos</t>
  </si>
  <si>
    <t>Jantar em Campos</t>
  </si>
  <si>
    <t>unha+sobrancelha</t>
  </si>
  <si>
    <t>puff</t>
  </si>
  <si>
    <t>calça</t>
  </si>
  <si>
    <t xml:space="preserve">mãe </t>
  </si>
  <si>
    <t>coca + chocolate</t>
  </si>
  <si>
    <t>coxinha na padaria</t>
  </si>
  <si>
    <t>assinatura uber</t>
  </si>
  <si>
    <t>salgado</t>
  </si>
  <si>
    <t>mercadinho</t>
  </si>
  <si>
    <t>açai (biel)</t>
  </si>
  <si>
    <t>aposta</t>
  </si>
  <si>
    <t>Queijos e chop</t>
  </si>
  <si>
    <t>ração da Nesco</t>
  </si>
  <si>
    <t>celular</t>
  </si>
  <si>
    <t>tenis 1/3</t>
  </si>
  <si>
    <t>Óculos Vitória</t>
  </si>
  <si>
    <t>Anuidade Latam</t>
  </si>
  <si>
    <t>Colação de grau</t>
  </si>
  <si>
    <t>Brinco</t>
  </si>
  <si>
    <t>Anel</t>
  </si>
  <si>
    <t>diferença positiva da luz</t>
  </si>
  <si>
    <t>mercado</t>
  </si>
  <si>
    <t>ovo</t>
  </si>
  <si>
    <t>LATAM jan</t>
  </si>
  <si>
    <t>primeira parcela do óculos</t>
  </si>
  <si>
    <t>anuidade</t>
  </si>
  <si>
    <t>Compras mercado</t>
  </si>
  <si>
    <t>Compras mercado ( Bobeirinhas</t>
  </si>
  <si>
    <t>Jogo Macaco</t>
  </si>
  <si>
    <t>Coca cola padaria</t>
  </si>
  <si>
    <t>MARMITEX</t>
  </si>
  <si>
    <t>tauste</t>
  </si>
  <si>
    <t>chiclete</t>
  </si>
  <si>
    <t>pringles</t>
  </si>
  <si>
    <t>pao de batata + caribe</t>
  </si>
  <si>
    <t>snickers + pão de batata</t>
  </si>
  <si>
    <t>casa mulher e vida</t>
  </si>
  <si>
    <t>açai chocomania</t>
  </si>
  <si>
    <t>açai maria de fátima</t>
  </si>
  <si>
    <t>sorvete na fabrica</t>
  </si>
  <si>
    <t>salgado na fábrica</t>
  </si>
  <si>
    <t>air freyer</t>
  </si>
  <si>
    <t>chip</t>
  </si>
  <si>
    <t>doce Vitória</t>
  </si>
  <si>
    <t>credito</t>
  </si>
  <si>
    <t>costureira</t>
  </si>
  <si>
    <t>não lembro</t>
  </si>
  <si>
    <t>compras (parte de mercado)</t>
  </si>
  <si>
    <t>compras (parte de bobeira)</t>
  </si>
  <si>
    <t>mercadinho, absrovente</t>
  </si>
  <si>
    <t>Pagamento 5º Dia útil</t>
  </si>
  <si>
    <t>Anuidade cartão</t>
  </si>
  <si>
    <t>bebidas</t>
  </si>
  <si>
    <t>2/3 do lanche</t>
  </si>
  <si>
    <t>Ifood</t>
  </si>
  <si>
    <t>areia Nesco</t>
  </si>
  <si>
    <t>Pix Sant. Vit</t>
  </si>
  <si>
    <t>soro da lente</t>
  </si>
  <si>
    <t>Pix Itau João</t>
  </si>
  <si>
    <t>remédio da gripe</t>
  </si>
  <si>
    <t>IPTU</t>
  </si>
  <si>
    <t>Taxa do lixo</t>
  </si>
  <si>
    <t>Vaquinha da Leandra (Vitória)</t>
  </si>
  <si>
    <t>Netflix</t>
  </si>
  <si>
    <t>Bobs (descontando R$ 50,00 que recebi da Cristina)</t>
  </si>
  <si>
    <t>Nubank</t>
  </si>
  <si>
    <t>Ifood Vit</t>
  </si>
  <si>
    <t>P2xpay</t>
  </si>
  <si>
    <t>Sant. Vit</t>
  </si>
  <si>
    <t>Coca (mercadinho coca e bis)</t>
  </si>
  <si>
    <t>Bis (mercadinho coca e bis)</t>
  </si>
  <si>
    <t>crédito</t>
  </si>
  <si>
    <t>Mercado 11/03 (valor R$ 113,23)</t>
  </si>
  <si>
    <t>Mercado 12/03 (valor R$ 84,58)</t>
  </si>
  <si>
    <t>Mercado 13/03 (valor R$ 100,37)</t>
  </si>
  <si>
    <t>Mercado 14/03 (valor R$ 38,26)</t>
  </si>
  <si>
    <t>Jogo compra</t>
  </si>
  <si>
    <t>Cabelo joao</t>
  </si>
  <si>
    <t>Oferta</t>
  </si>
  <si>
    <t>Bobeirinha J</t>
  </si>
  <si>
    <t>Vakinha JP</t>
  </si>
  <si>
    <t>Jogo Stean</t>
  </si>
  <si>
    <t>Taxa despachante</t>
  </si>
  <si>
    <t>Gasolina CAMILO</t>
  </si>
  <si>
    <t>Gasolina vitória</t>
  </si>
  <si>
    <t xml:space="preserve">Gasolina </t>
  </si>
  <si>
    <t>Remedio dor de cabeça</t>
  </si>
  <si>
    <t>Algo que comemos</t>
  </si>
  <si>
    <t>Lanche sem miseria</t>
  </si>
  <si>
    <t>Exelcior</t>
  </si>
  <si>
    <t>Mercado lazer</t>
  </si>
  <si>
    <t>Itau Deb.</t>
  </si>
  <si>
    <t>Ifood João</t>
  </si>
  <si>
    <t>Frango assado</t>
  </si>
  <si>
    <t>Dinheiro</t>
  </si>
  <si>
    <t>GEMINI</t>
  </si>
  <si>
    <t>Cartório</t>
  </si>
  <si>
    <t>AINDA falta enviar 470 do inter</t>
  </si>
  <si>
    <t>Crédito claro</t>
  </si>
  <si>
    <t>Vistoria moto</t>
  </si>
  <si>
    <t>Verificar, gasto no tauste</t>
  </si>
  <si>
    <t>Japa açai</t>
  </si>
  <si>
    <t>Churu</t>
  </si>
  <si>
    <t>Salgado na estrada ( 37,00 no extrato )</t>
  </si>
  <si>
    <t>Gasolina e galão</t>
  </si>
  <si>
    <t xml:space="preserve">marmita </t>
  </si>
  <si>
    <t>oleo CB300</t>
  </si>
  <si>
    <t>Josielen (presente)</t>
  </si>
  <si>
    <t>capa da moto</t>
  </si>
  <si>
    <t>presente Silvio</t>
  </si>
  <si>
    <t>livro no kindle</t>
  </si>
  <si>
    <t>amendoim e doces</t>
  </si>
  <si>
    <t>Mercado 18/03 (valor R$ 84,81)</t>
  </si>
  <si>
    <t>renovação da habilitação</t>
  </si>
  <si>
    <t>choop</t>
  </si>
  <si>
    <t>compras do mês</t>
  </si>
  <si>
    <t>mercadinho (coca e chocolate)</t>
  </si>
  <si>
    <t>transferencia moto</t>
  </si>
  <si>
    <t>pizza</t>
  </si>
  <si>
    <t>almoço</t>
  </si>
  <si>
    <t>reposição compras</t>
  </si>
  <si>
    <t>reposição bobeirinhas V</t>
  </si>
  <si>
    <t>resposição lazer</t>
  </si>
  <si>
    <t>reposição moto</t>
  </si>
  <si>
    <t>Shopee vitória</t>
  </si>
  <si>
    <t>Pix samily</t>
  </si>
  <si>
    <t>Pass Clash</t>
  </si>
  <si>
    <t>Gasolina tenda</t>
  </si>
  <si>
    <t>Óleo PCX</t>
  </si>
  <si>
    <t>Lanche Bobs</t>
  </si>
  <si>
    <t>Tauste</t>
  </si>
  <si>
    <t>Jantar Tauste</t>
  </si>
  <si>
    <t>exame</t>
  </si>
  <si>
    <t>ifood</t>
  </si>
  <si>
    <t>Gastos da LATAM enviados para pagar fatura</t>
  </si>
  <si>
    <t>notie dos queijos/shibata</t>
  </si>
  <si>
    <t>notie dos queijos/exelcior</t>
  </si>
  <si>
    <t>coca cola</t>
  </si>
  <si>
    <t>Corujão</t>
  </si>
  <si>
    <t>Sorvete corujão</t>
  </si>
  <si>
    <t>Coca + lasanha mercadinho</t>
  </si>
  <si>
    <t>Tremembé chop</t>
  </si>
  <si>
    <t>Uber honda</t>
  </si>
  <si>
    <t>Sorteve fabrica</t>
  </si>
  <si>
    <t>colação de grau</t>
  </si>
  <si>
    <t>lanche na fabrica</t>
  </si>
  <si>
    <t>uber para buscar a moto</t>
  </si>
  <si>
    <t>marmita caseiro</t>
  </si>
  <si>
    <t>conserto moto</t>
  </si>
  <si>
    <t>INTER</t>
  </si>
  <si>
    <t>Airbnb Chile</t>
  </si>
  <si>
    <t>café da manhã</t>
  </si>
  <si>
    <t>energético</t>
  </si>
  <si>
    <t xml:space="preserve">camisinha  </t>
  </si>
  <si>
    <t>estacionamento</t>
  </si>
  <si>
    <t>amendoim</t>
  </si>
  <si>
    <t>Burger King</t>
  </si>
  <si>
    <t>milk shake</t>
  </si>
  <si>
    <t>coisas para casa</t>
  </si>
  <si>
    <t>suco</t>
  </si>
  <si>
    <t xml:space="preserve">Inter </t>
  </si>
  <si>
    <t>lanche 27,59</t>
  </si>
  <si>
    <t>Diferença inter</t>
  </si>
  <si>
    <t>Taute diferença inter</t>
  </si>
  <si>
    <t>Lanche BK</t>
  </si>
  <si>
    <t>Barbearia</t>
  </si>
  <si>
    <t>Lanche 99</t>
  </si>
  <si>
    <t>Guaraná mercadinho</t>
  </si>
  <si>
    <t>Marmitex JG</t>
  </si>
  <si>
    <t>Ração Nesco</t>
  </si>
  <si>
    <t>Mercado R$ 44,06</t>
  </si>
  <si>
    <t>coias de casa 1,99$</t>
  </si>
  <si>
    <t>Carreto moto</t>
  </si>
  <si>
    <t>N lembro</t>
  </si>
  <si>
    <t>Conserto moto</t>
  </si>
  <si>
    <t>polo loko</t>
  </si>
  <si>
    <t>Entrega pizza</t>
  </si>
  <si>
    <t>Repasse de valores para inteirar</t>
  </si>
  <si>
    <t>saldo negativo do mês de abril</t>
  </si>
  <si>
    <t>salgadinho</t>
  </si>
  <si>
    <t>taxa do detran</t>
  </si>
  <si>
    <t>UBer</t>
  </si>
  <si>
    <t>chop, vinho, nutella e bala</t>
  </si>
  <si>
    <t>areia</t>
  </si>
  <si>
    <t>Quiririm</t>
  </si>
  <si>
    <t>Sheim</t>
  </si>
  <si>
    <t>SHIBATA</t>
  </si>
  <si>
    <t>Loja a granel</t>
  </si>
  <si>
    <t>Blusa preta (riachuelo)</t>
  </si>
  <si>
    <t>shein</t>
  </si>
  <si>
    <t>blusa marrom</t>
  </si>
  <si>
    <t>brincos</t>
  </si>
  <si>
    <t>roupas</t>
  </si>
  <si>
    <t>jogo</t>
  </si>
  <si>
    <t>touquinha e tapa olho</t>
  </si>
  <si>
    <t>ajuda gasolina (Ana)</t>
  </si>
  <si>
    <t>emporio benta (docinho)</t>
  </si>
  <si>
    <t>milkshake</t>
  </si>
  <si>
    <t>docinho de Campos</t>
  </si>
  <si>
    <t>emissão da CNH</t>
  </si>
  <si>
    <t>apostinha</t>
  </si>
  <si>
    <t>macarrão</t>
  </si>
  <si>
    <t>comida</t>
  </si>
  <si>
    <t>speed</t>
  </si>
  <si>
    <t>gemini</t>
  </si>
  <si>
    <t>foto</t>
  </si>
  <si>
    <t>estaconamento</t>
  </si>
  <si>
    <t>blusa</t>
  </si>
  <si>
    <t>Bolo trabalho</t>
  </si>
  <si>
    <t>Uber ju</t>
  </si>
  <si>
    <t>Café taubaté</t>
  </si>
  <si>
    <t>Presente maes boticario</t>
  </si>
  <si>
    <t>Churrasco Mãre</t>
  </si>
  <si>
    <t>comissão (saldo positivo)</t>
  </si>
  <si>
    <t>trufa</t>
  </si>
  <si>
    <t>almoço domingo</t>
  </si>
  <si>
    <t>detran</t>
  </si>
  <si>
    <t>perfume</t>
  </si>
  <si>
    <t>ingredientes da sopa</t>
  </si>
  <si>
    <t>chveiro</t>
  </si>
  <si>
    <t>perfumes</t>
  </si>
  <si>
    <t>padaria</t>
  </si>
  <si>
    <t>brigadeiro</t>
  </si>
  <si>
    <t>gasolina PCX</t>
  </si>
  <si>
    <t>Loto Renan</t>
  </si>
  <si>
    <t>Douglas bolo</t>
  </si>
  <si>
    <t>Pneu + Relação moto</t>
  </si>
  <si>
    <t>Churrasqueira</t>
  </si>
  <si>
    <t>Trufa tauste</t>
  </si>
  <si>
    <t>chopp</t>
  </si>
  <si>
    <t>costela</t>
  </si>
  <si>
    <t>epetinho</t>
  </si>
  <si>
    <t>Churrasco</t>
  </si>
  <si>
    <t>café da tarde (sogra)</t>
  </si>
  <si>
    <t>salgado e caldinho</t>
  </si>
  <si>
    <t>Almoço fazenda</t>
  </si>
  <si>
    <t>Gasto</t>
  </si>
  <si>
    <t>PLR restante</t>
  </si>
  <si>
    <t>almoço no serviço</t>
  </si>
  <si>
    <t>vinho e amendoim</t>
  </si>
  <si>
    <t>miojos + doce</t>
  </si>
  <si>
    <t>shibata</t>
  </si>
  <si>
    <t>coca do almoço</t>
  </si>
  <si>
    <t>pipoca do queijão</t>
  </si>
  <si>
    <t>bala</t>
  </si>
  <si>
    <t>CAMISINHA + REMÉDIO</t>
  </si>
  <si>
    <t>SHIBATA (provavelmente vinho e amendoim)</t>
  </si>
  <si>
    <t>shampoo, condicionador, salgadinho e docinhos</t>
  </si>
  <si>
    <t>PROVAVELMENTE CLEAR + ALGO</t>
  </si>
  <si>
    <t>gasolina Ana (carona)</t>
  </si>
  <si>
    <t>claro</t>
  </si>
  <si>
    <t>não me lembro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</si>
</sst>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R$ -416]#,##0.00"/>
    <numFmt numFmtId="165" formatCode="d/m"/>
    <numFmt numFmtId="166" formatCode="&quot;R$&quot;\ #,##0.00"/>
  </numFmts>
  <fonts count="3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3"/>
      <color theme="0"/>
      <name val="Arial"/>
      <family val="2"/>
      <scheme val="minor"/>
    </font>
    <font>
      <b/>
      <i/>
      <sz val="13"/>
      <color theme="0"/>
      <name val="Arial"/>
      <family val="2"/>
      <scheme val="minor"/>
    </font>
    <font>
      <b/>
      <sz val="13"/>
      <color theme="0"/>
      <name val="Arial"/>
      <family val="2"/>
    </font>
    <font>
      <b/>
      <i/>
      <sz val="13"/>
      <color theme="0"/>
      <name val="Arial"/>
      <family val="2"/>
    </font>
    <font>
      <b/>
      <sz val="22"/>
      <color rgb="FF38761D"/>
      <name val="Arial"/>
      <family val="2"/>
      <scheme val="minor"/>
    </font>
    <font>
      <b/>
      <sz val="13"/>
      <color rgb="FF38761D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theme="0"/>
      <name val="Arial"/>
      <family val="2"/>
      <scheme val="minor"/>
    </font>
    <font>
      <b/>
      <i/>
      <sz val="13"/>
      <color theme="0"/>
      <name val="Arial"/>
      <family val="2"/>
      <scheme val="minor"/>
    </font>
    <font>
      <b/>
      <i/>
      <sz val="14"/>
      <color rgb="FF000000"/>
      <name val="Arial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scheme val="minor"/>
    </font>
    <font>
      <b/>
      <sz val="10"/>
      <color theme="0" tint="-4.9989318521683403E-2"/>
      <name val="Arial"/>
      <family val="2"/>
      <scheme val="minor"/>
    </font>
    <font>
      <b/>
      <i/>
      <sz val="18"/>
      <color rgb="FF33CC33"/>
      <name val="Arial"/>
      <family val="2"/>
      <scheme val="minor"/>
    </font>
    <font>
      <u/>
      <sz val="10"/>
      <color rgb="FF000000"/>
      <name val="Arial"/>
      <family val="2"/>
      <scheme val="minor"/>
    </font>
    <font>
      <b/>
      <sz val="12"/>
      <color rgb="FF92D05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u/>
      <sz val="10"/>
      <color theme="1"/>
      <name val="Arial"/>
      <family val="2"/>
      <scheme val="minor"/>
    </font>
    <font>
      <sz val="8"/>
      <name val="Arial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0"/>
      <color theme="0"/>
      <name val="Arial"/>
      <family val="2"/>
      <scheme val="minor"/>
    </font>
    <font>
      <u val="singleAccounting"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0"/>
      <color theme="0"/>
      <name val="Arial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7" tint="-0.499984740745262"/>
        <bgColor rgb="FF434343"/>
      </patternFill>
    </fill>
    <fill>
      <patternFill patternType="solid">
        <fgColor theme="5" tint="-0.249977111117893"/>
        <bgColor rgb="FF43434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rgb="FFF4CCCC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rgb="FFCC4125"/>
      </patternFill>
    </fill>
    <fill>
      <patternFill patternType="solid">
        <fgColor theme="7" tint="-0.499984740745262"/>
        <bgColor rgb="FF6AA84F"/>
      </patternFill>
    </fill>
    <fill>
      <patternFill patternType="solid">
        <fgColor rgb="FFFFC000"/>
        <bgColor rgb="FFFFFF00"/>
      </patternFill>
    </fill>
    <fill>
      <patternFill patternType="solid">
        <fgColor theme="1" tint="0.14999847407452621"/>
        <bgColor rgb="FF434343"/>
      </patternFill>
    </fill>
    <fill>
      <patternFill patternType="solid">
        <fgColor theme="1"/>
        <bgColor rgb="FF000000"/>
      </patternFill>
    </fill>
    <fill>
      <patternFill patternType="solid">
        <fgColor rgb="FF262626"/>
        <bgColor indexed="64"/>
      </patternFill>
    </fill>
    <fill>
      <patternFill patternType="solid">
        <fgColor theme="6" tint="0.59999389629810485"/>
        <bgColor rgb="FFC9DAF8"/>
      </patternFill>
    </fill>
    <fill>
      <patternFill patternType="solid">
        <fgColor theme="6" tint="0.59999389629810485"/>
        <bgColor rgb="FFFFE599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rgb="FFFFE5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FFE599"/>
      </patternFill>
    </fill>
    <fill>
      <patternFill patternType="solid">
        <fgColor theme="7" tint="-0.249977111117893"/>
        <bgColor rgb="FFFFE59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93C47D"/>
      </patternFill>
    </fill>
    <fill>
      <patternFill patternType="solid">
        <fgColor theme="8" tint="0.39997558519241921"/>
        <bgColor rgb="FFFFE59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rgb="FFFFE59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1"/>
        <bgColor rgb="FFFFE599"/>
      </patternFill>
    </fill>
    <fill>
      <patternFill patternType="solid">
        <fgColor theme="8"/>
        <bgColor rgb="FFFFE59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8761D"/>
      </left>
      <right style="thin">
        <color rgb="FF38761D"/>
      </right>
      <top style="thin">
        <color rgb="FF38761D"/>
      </top>
      <bottom/>
      <diagonal/>
    </border>
    <border>
      <left style="thin">
        <color rgb="FF38761D"/>
      </left>
      <right style="thin">
        <color rgb="FF38761D"/>
      </right>
      <top/>
      <bottom style="thin">
        <color rgb="FF38761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360">
    <xf numFmtId="0" fontId="0" fillId="0" borderId="0" xfId="0" applyFont="1" applyAlignment="1"/>
    <xf numFmtId="44" fontId="4" fillId="3" borderId="3" xfId="1" applyFont="1" applyFill="1" applyBorder="1" applyAlignment="1">
      <alignment horizontal="center" vertical="center"/>
    </xf>
    <xf numFmtId="0" fontId="0" fillId="18" borderId="0" xfId="0" applyFont="1" applyFill="1" applyAlignment="1"/>
    <xf numFmtId="0" fontId="1" fillId="10" borderId="2" xfId="0" applyFont="1" applyFill="1" applyBorder="1" applyAlignment="1">
      <alignment horizontal="center" vertical="center"/>
    </xf>
    <xf numFmtId="16" fontId="1" fillId="13" borderId="8" xfId="1" applyNumberFormat="1" applyFont="1" applyFill="1" applyBorder="1" applyAlignment="1">
      <alignment horizontal="center" vertical="center"/>
    </xf>
    <xf numFmtId="16" fontId="3" fillId="19" borderId="8" xfId="0" applyNumberFormat="1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44" fontId="1" fillId="13" borderId="8" xfId="1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164" fontId="4" fillId="7" borderId="1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4" fontId="1" fillId="2" borderId="3" xfId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4" fontId="4" fillId="2" borderId="12" xfId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/>
    </xf>
    <xf numFmtId="44" fontId="4" fillId="17" borderId="11" xfId="1" applyFont="1" applyFill="1" applyBorder="1" applyAlignment="1">
      <alignment horizontal="center" vertical="center"/>
    </xf>
    <xf numFmtId="164" fontId="1" fillId="20" borderId="3" xfId="0" applyNumberFormat="1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4" fontId="5" fillId="11" borderId="3" xfId="1" applyFont="1" applyFill="1" applyBorder="1" applyAlignment="1">
      <alignment horizontal="center" vertical="center"/>
    </xf>
    <xf numFmtId="44" fontId="5" fillId="14" borderId="3" xfId="1" applyFont="1" applyFill="1" applyBorder="1" applyAlignment="1">
      <alignment horizontal="center" vertical="center"/>
    </xf>
    <xf numFmtId="44" fontId="5" fillId="15" borderId="3" xfId="1" applyFont="1" applyFill="1" applyBorder="1" applyAlignment="1">
      <alignment horizontal="center" vertical="center"/>
    </xf>
    <xf numFmtId="44" fontId="4" fillId="5" borderId="3" xfId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0" fontId="0" fillId="18" borderId="0" xfId="0" applyFont="1" applyFill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44" fontId="1" fillId="10" borderId="1" xfId="1" applyFont="1" applyFill="1" applyBorder="1" applyAlignment="1">
      <alignment horizontal="center" vertical="center"/>
    </xf>
    <xf numFmtId="44" fontId="1" fillId="10" borderId="23" xfId="1" applyNumberFormat="1" applyFont="1" applyFill="1" applyBorder="1" applyAlignment="1">
      <alignment horizontal="center" vertical="center"/>
    </xf>
    <xf numFmtId="44" fontId="1" fillId="10" borderId="3" xfId="1" applyNumberFormat="1" applyFont="1" applyFill="1" applyBorder="1" applyAlignment="1">
      <alignment horizontal="center" vertical="center"/>
    </xf>
    <xf numFmtId="44" fontId="1" fillId="10" borderId="4" xfId="1" applyNumberFormat="1" applyFont="1" applyFill="1" applyBorder="1" applyAlignment="1">
      <alignment horizontal="center" vertical="center"/>
    </xf>
    <xf numFmtId="16" fontId="3" fillId="19" borderId="22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1" fillId="22" borderId="20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44" fontId="6" fillId="23" borderId="1" xfId="1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44" fontId="8" fillId="23" borderId="1" xfId="1" applyFont="1" applyFill="1" applyBorder="1" applyAlignment="1">
      <alignment horizontal="center" vertical="center"/>
    </xf>
    <xf numFmtId="0" fontId="5" fillId="23" borderId="14" xfId="0" applyFont="1" applyFill="1" applyBorder="1" applyAlignment="1">
      <alignment horizontal="center" vertical="center"/>
    </xf>
    <xf numFmtId="44" fontId="6" fillId="23" borderId="10" xfId="1" applyFont="1" applyFill="1" applyBorder="1" applyAlignment="1">
      <alignment horizontal="center" vertical="center"/>
    </xf>
    <xf numFmtId="0" fontId="12" fillId="23" borderId="14" xfId="0" applyFont="1" applyFill="1" applyBorder="1" applyAlignment="1">
      <alignment horizontal="center" vertical="center"/>
    </xf>
    <xf numFmtId="44" fontId="13" fillId="23" borderId="10" xfId="1" applyFont="1" applyFill="1" applyBorder="1" applyAlignment="1">
      <alignment horizontal="center" vertical="center"/>
    </xf>
    <xf numFmtId="0" fontId="5" fillId="24" borderId="9" xfId="0" applyFont="1" applyFill="1" applyBorder="1" applyAlignment="1">
      <alignment horizontal="center" vertical="center"/>
    </xf>
    <xf numFmtId="0" fontId="5" fillId="24" borderId="15" xfId="0" applyFont="1" applyFill="1" applyBorder="1" applyAlignment="1">
      <alignment horizontal="center" vertical="center"/>
    </xf>
    <xf numFmtId="164" fontId="1" fillId="20" borderId="2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64" fontId="1" fillId="20" borderId="8" xfId="0" applyNumberFormat="1" applyFont="1" applyFill="1" applyBorder="1" applyAlignment="1">
      <alignment horizontal="center" vertical="center"/>
    </xf>
    <xf numFmtId="0" fontId="5" fillId="24" borderId="25" xfId="0" applyFont="1" applyFill="1" applyBorder="1" applyAlignment="1">
      <alignment horizontal="center" vertical="center"/>
    </xf>
    <xf numFmtId="0" fontId="0" fillId="25" borderId="8" xfId="0" applyFont="1" applyFill="1" applyBorder="1" applyAlignment="1">
      <alignment horizontal="center" vertical="center"/>
    </xf>
    <xf numFmtId="44" fontId="0" fillId="0" borderId="0" xfId="0" applyNumberFormat="1" applyFont="1" applyAlignment="1"/>
    <xf numFmtId="44" fontId="0" fillId="0" borderId="0" xfId="0" applyNumberFormat="1" applyFont="1" applyAlignment="1">
      <alignment horizontal="center" vertical="center"/>
    </xf>
    <xf numFmtId="166" fontId="0" fillId="0" borderId="0" xfId="0" applyNumberFormat="1" applyFont="1" applyBorder="1" applyAlignment="1">
      <alignment horizontal="center" vertical="center"/>
    </xf>
    <xf numFmtId="44" fontId="0" fillId="0" borderId="0" xfId="0" applyNumberFormat="1" applyFont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/>
    </xf>
    <xf numFmtId="44" fontId="1" fillId="10" borderId="10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28" borderId="8" xfId="0" applyFont="1" applyFill="1" applyBorder="1" applyAlignment="1">
      <alignment horizontal="center" vertical="center"/>
    </xf>
    <xf numFmtId="44" fontId="18" fillId="28" borderId="8" xfId="0" applyNumberFormat="1" applyFont="1" applyFill="1" applyBorder="1" applyAlignment="1">
      <alignment horizontal="center" vertical="center"/>
    </xf>
    <xf numFmtId="0" fontId="1" fillId="22" borderId="18" xfId="0" applyFont="1" applyFill="1" applyBorder="1" applyAlignment="1">
      <alignment horizontal="center" vertical="center"/>
    </xf>
    <xf numFmtId="44" fontId="0" fillId="13" borderId="17" xfId="1" applyNumberFormat="1" applyFont="1" applyFill="1" applyBorder="1" applyAlignment="1">
      <alignment horizontal="center" vertical="center"/>
    </xf>
    <xf numFmtId="44" fontId="0" fillId="19" borderId="26" xfId="0" applyNumberFormat="1" applyFont="1" applyFill="1" applyBorder="1" applyAlignment="1">
      <alignment horizontal="center" vertical="center"/>
    </xf>
    <xf numFmtId="44" fontId="0" fillId="19" borderId="17" xfId="0" applyNumberFormat="1" applyFont="1" applyFill="1" applyBorder="1" applyAlignment="1">
      <alignment horizontal="center" vertical="center"/>
    </xf>
    <xf numFmtId="0" fontId="1" fillId="27" borderId="21" xfId="0" applyFont="1" applyFill="1" applyBorder="1" applyAlignment="1">
      <alignment horizontal="center" vertical="center"/>
    </xf>
    <xf numFmtId="0" fontId="1" fillId="26" borderId="21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44" fontId="3" fillId="19" borderId="8" xfId="0" applyNumberFormat="1" applyFont="1" applyFill="1" applyBorder="1" applyAlignment="1">
      <alignment horizontal="center"/>
    </xf>
    <xf numFmtId="44" fontId="3" fillId="19" borderId="22" xfId="0" applyNumberFormat="1" applyFont="1" applyFill="1" applyBorder="1" applyAlignment="1">
      <alignment horizontal="center"/>
    </xf>
    <xf numFmtId="44" fontId="1" fillId="13" borderId="8" xfId="1" applyNumberFormat="1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16" fontId="1" fillId="13" borderId="21" xfId="0" applyNumberFormat="1" applyFont="1" applyFill="1" applyBorder="1" applyAlignment="1">
      <alignment horizontal="center" vertical="center"/>
    </xf>
    <xf numFmtId="44" fontId="1" fillId="13" borderId="21" xfId="1" applyFont="1" applyFill="1" applyBorder="1" applyAlignment="1">
      <alignment horizontal="center" vertical="center"/>
    </xf>
    <xf numFmtId="0" fontId="1" fillId="13" borderId="27" xfId="0" applyFont="1" applyFill="1" applyBorder="1" applyAlignment="1">
      <alignment horizontal="center" vertical="center"/>
    </xf>
    <xf numFmtId="0" fontId="1" fillId="27" borderId="8" xfId="0" applyFont="1" applyFill="1" applyBorder="1" applyAlignment="1">
      <alignment horizontal="center" vertical="center"/>
    </xf>
    <xf numFmtId="0" fontId="0" fillId="19" borderId="8" xfId="0" applyFont="1" applyFill="1" applyBorder="1" applyAlignment="1"/>
    <xf numFmtId="44" fontId="0" fillId="19" borderId="8" xfId="0" applyNumberFormat="1" applyFont="1" applyFill="1" applyBorder="1" applyAlignment="1">
      <alignment horizontal="center"/>
    </xf>
    <xf numFmtId="0" fontId="20" fillId="0" borderId="0" xfId="0" applyFont="1" applyAlignment="1"/>
    <xf numFmtId="0" fontId="1" fillId="4" borderId="11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44" fontId="1" fillId="4" borderId="8" xfId="1" applyNumberFormat="1" applyFont="1" applyFill="1" applyBorder="1" applyAlignment="1">
      <alignment horizontal="center" vertical="center"/>
    </xf>
    <xf numFmtId="44" fontId="1" fillId="20" borderId="8" xfId="1" applyNumberFormat="1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44" fontId="1" fillId="4" borderId="17" xfId="1" applyNumberFormat="1" applyFont="1" applyFill="1" applyBorder="1" applyAlignment="1">
      <alignment horizontal="center" vertical="center"/>
    </xf>
    <xf numFmtId="0" fontId="1" fillId="20" borderId="21" xfId="0" applyFont="1" applyFill="1" applyBorder="1" applyAlignment="1">
      <alignment horizontal="center" vertical="center"/>
    </xf>
    <xf numFmtId="44" fontId="1" fillId="20" borderId="26" xfId="1" applyNumberFormat="1" applyFont="1" applyFill="1" applyBorder="1" applyAlignment="1">
      <alignment horizontal="center" vertical="center"/>
    </xf>
    <xf numFmtId="0" fontId="11" fillId="0" borderId="0" xfId="0" applyFont="1" applyAlignment="1"/>
    <xf numFmtId="16" fontId="22" fillId="19" borderId="22" xfId="0" applyNumberFormat="1" applyFont="1" applyFill="1" applyBorder="1" applyAlignment="1">
      <alignment horizontal="center" vertical="center"/>
    </xf>
    <xf numFmtId="0" fontId="22" fillId="19" borderId="22" xfId="0" applyFont="1" applyFill="1" applyBorder="1" applyAlignment="1">
      <alignment horizontal="center" vertical="center"/>
    </xf>
    <xf numFmtId="44" fontId="1" fillId="13" borderId="22" xfId="1" applyNumberFormat="1" applyFont="1" applyFill="1" applyBorder="1" applyAlignment="1">
      <alignment horizontal="center"/>
    </xf>
    <xf numFmtId="44" fontId="1" fillId="13" borderId="22" xfId="1" applyFont="1" applyFill="1" applyBorder="1" applyAlignment="1">
      <alignment horizontal="center" vertical="center"/>
    </xf>
    <xf numFmtId="44" fontId="3" fillId="19" borderId="21" xfId="0" applyNumberFormat="1" applyFont="1" applyFill="1" applyBorder="1" applyAlignment="1">
      <alignment horizontal="center"/>
    </xf>
    <xf numFmtId="44" fontId="1" fillId="13" borderId="22" xfId="1" applyNumberFormat="1" applyFont="1" applyFill="1" applyBorder="1" applyAlignment="1">
      <alignment horizontal="center" vertical="center"/>
    </xf>
    <xf numFmtId="16" fontId="1" fillId="13" borderId="22" xfId="1" applyNumberFormat="1" applyFont="1" applyFill="1" applyBorder="1" applyAlignment="1">
      <alignment horizontal="center" vertical="center"/>
    </xf>
    <xf numFmtId="16" fontId="1" fillId="13" borderId="22" xfId="0" applyNumberFormat="1" applyFont="1" applyFill="1" applyBorder="1" applyAlignment="1">
      <alignment horizontal="center" vertical="center"/>
    </xf>
    <xf numFmtId="16" fontId="3" fillId="19" borderId="21" xfId="0" applyNumberFormat="1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44" fontId="5" fillId="23" borderId="10" xfId="1" applyFont="1" applyFill="1" applyBorder="1" applyAlignment="1">
      <alignment horizontal="center" vertical="center"/>
    </xf>
    <xf numFmtId="44" fontId="3" fillId="13" borderId="17" xfId="1" applyNumberFormat="1" applyFont="1" applyFill="1" applyBorder="1" applyAlignment="1">
      <alignment horizontal="center" vertical="center"/>
    </xf>
    <xf numFmtId="44" fontId="3" fillId="19" borderId="17" xfId="0" applyNumberFormat="1" applyFont="1" applyFill="1" applyBorder="1" applyAlignment="1">
      <alignment horizontal="center" vertical="center"/>
    </xf>
    <xf numFmtId="44" fontId="3" fillId="19" borderId="26" xfId="0" applyNumberFormat="1" applyFont="1" applyFill="1" applyBorder="1" applyAlignment="1">
      <alignment horizontal="center" vertical="center"/>
    </xf>
    <xf numFmtId="44" fontId="1" fillId="2" borderId="10" xfId="1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4" fontId="1" fillId="7" borderId="28" xfId="0" applyNumberFormat="1" applyFont="1" applyFill="1" applyBorder="1" applyAlignment="1">
      <alignment horizontal="center" vertical="center"/>
    </xf>
    <xf numFmtId="44" fontId="0" fillId="0" borderId="0" xfId="1" applyFont="1" applyAlignment="1"/>
    <xf numFmtId="165" fontId="4" fillId="2" borderId="26" xfId="0" applyNumberFormat="1" applyFont="1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44" fontId="1" fillId="17" borderId="8" xfId="1" applyNumberFormat="1" applyFont="1" applyFill="1" applyBorder="1" applyAlignment="1">
      <alignment horizontal="center" vertical="center"/>
    </xf>
    <xf numFmtId="44" fontId="21" fillId="29" borderId="8" xfId="0" applyNumberFormat="1" applyFont="1" applyFill="1" applyBorder="1" applyAlignment="1">
      <alignment horizontal="center" vertical="center"/>
    </xf>
    <xf numFmtId="165" fontId="4" fillId="17" borderId="8" xfId="0" applyNumberFormat="1" applyFont="1" applyFill="1" applyBorder="1" applyAlignment="1">
      <alignment horizontal="center" vertical="center"/>
    </xf>
    <xf numFmtId="16" fontId="22" fillId="19" borderId="8" xfId="0" applyNumberFormat="1" applyFont="1" applyFill="1" applyBorder="1" applyAlignment="1">
      <alignment horizontal="center" vertical="center"/>
    </xf>
    <xf numFmtId="44" fontId="3" fillId="19" borderId="8" xfId="0" applyNumberFormat="1" applyFont="1" applyFill="1" applyBorder="1" applyAlignment="1">
      <alignment horizontal="center" vertical="center"/>
    </xf>
    <xf numFmtId="44" fontId="1" fillId="27" borderId="8" xfId="0" applyNumberFormat="1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44" fontId="3" fillId="19" borderId="22" xfId="0" applyNumberFormat="1" applyFont="1" applyFill="1" applyBorder="1" applyAlignment="1">
      <alignment horizontal="center" vertical="center"/>
    </xf>
    <xf numFmtId="44" fontId="0" fillId="30" borderId="0" xfId="0" applyNumberFormat="1" applyFont="1" applyFill="1" applyAlignment="1"/>
    <xf numFmtId="44" fontId="20" fillId="0" borderId="0" xfId="0" applyNumberFormat="1" applyFont="1" applyAlignment="1"/>
    <xf numFmtId="44" fontId="0" fillId="31" borderId="0" xfId="0" applyNumberFormat="1" applyFont="1" applyFill="1" applyAlignment="1"/>
    <xf numFmtId="44" fontId="29" fillId="28" borderId="0" xfId="0" applyNumberFormat="1" applyFont="1" applyFill="1" applyAlignment="1"/>
    <xf numFmtId="0" fontId="1" fillId="27" borderId="16" xfId="0" applyFont="1" applyFill="1" applyBorder="1" applyAlignment="1">
      <alignment horizontal="center" vertical="center"/>
    </xf>
    <xf numFmtId="0" fontId="25" fillId="27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44" fontId="30" fillId="0" borderId="0" xfId="0" applyNumberFormat="1" applyFont="1" applyAlignment="1"/>
    <xf numFmtId="0" fontId="1" fillId="32" borderId="16" xfId="0" applyFont="1" applyFill="1" applyBorder="1" applyAlignment="1">
      <alignment horizontal="center" vertical="center"/>
    </xf>
    <xf numFmtId="44" fontId="3" fillId="33" borderId="8" xfId="0" applyNumberFormat="1" applyFont="1" applyFill="1" applyBorder="1" applyAlignment="1">
      <alignment horizontal="center"/>
    </xf>
    <xf numFmtId="16" fontId="3" fillId="33" borderId="8" xfId="0" applyNumberFormat="1" applyFont="1" applyFill="1" applyBorder="1" applyAlignment="1">
      <alignment horizontal="center" vertical="center"/>
    </xf>
    <xf numFmtId="0" fontId="3" fillId="33" borderId="8" xfId="0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0" fontId="1" fillId="12" borderId="30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3" fillId="31" borderId="16" xfId="0" applyFont="1" applyFill="1" applyBorder="1" applyAlignment="1">
      <alignment horizontal="center" vertical="center"/>
    </xf>
    <xf numFmtId="44" fontId="3" fillId="31" borderId="8" xfId="0" applyNumberFormat="1" applyFont="1" applyFill="1" applyBorder="1" applyAlignment="1">
      <alignment horizontal="center" vertical="center"/>
    </xf>
    <xf numFmtId="16" fontId="3" fillId="31" borderId="8" xfId="0" applyNumberFormat="1" applyFont="1" applyFill="1" applyBorder="1" applyAlignment="1">
      <alignment horizontal="center" vertical="center"/>
    </xf>
    <xf numFmtId="0" fontId="3" fillId="31" borderId="17" xfId="0" applyFont="1" applyFill="1" applyBorder="1" applyAlignment="1">
      <alignment horizontal="center" vertical="center"/>
    </xf>
    <xf numFmtId="0" fontId="3" fillId="19" borderId="16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0" fontId="3" fillId="19" borderId="26" xfId="0" applyFont="1" applyFill="1" applyBorder="1" applyAlignment="1">
      <alignment horizontal="center" vertical="center"/>
    </xf>
    <xf numFmtId="164" fontId="4" fillId="34" borderId="4" xfId="0" applyNumberFormat="1" applyFont="1" applyFill="1" applyBorder="1" applyAlignment="1">
      <alignment horizontal="center" vertical="center"/>
    </xf>
    <xf numFmtId="44" fontId="4" fillId="34" borderId="4" xfId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4" fontId="1" fillId="12" borderId="30" xfId="0" applyNumberFormat="1" applyFont="1" applyFill="1" applyBorder="1" applyAlignment="1">
      <alignment horizontal="center" vertical="center"/>
    </xf>
    <xf numFmtId="0" fontId="0" fillId="19" borderId="8" xfId="0" applyFont="1" applyFill="1" applyBorder="1" applyAlignment="1">
      <alignment horizontal="center" vertical="center"/>
    </xf>
    <xf numFmtId="44" fontId="0" fillId="19" borderId="8" xfId="0" applyNumberFormat="1" applyFont="1" applyFill="1" applyBorder="1" applyAlignment="1">
      <alignment horizontal="center" vertical="center"/>
    </xf>
    <xf numFmtId="0" fontId="3" fillId="35" borderId="16" xfId="0" applyFont="1" applyFill="1" applyBorder="1" applyAlignment="1">
      <alignment horizontal="center" vertical="center"/>
    </xf>
    <xf numFmtId="44" fontId="3" fillId="35" borderId="8" xfId="0" applyNumberFormat="1" applyFont="1" applyFill="1" applyBorder="1" applyAlignment="1">
      <alignment horizontal="center" vertical="center"/>
    </xf>
    <xf numFmtId="16" fontId="3" fillId="35" borderId="8" xfId="0" applyNumberFormat="1" applyFont="1" applyFill="1" applyBorder="1" applyAlignment="1">
      <alignment horizontal="center" vertical="center"/>
    </xf>
    <xf numFmtId="0" fontId="3" fillId="35" borderId="17" xfId="0" applyFont="1" applyFill="1" applyBorder="1" applyAlignment="1">
      <alignment horizontal="center" vertical="center"/>
    </xf>
    <xf numFmtId="0" fontId="3" fillId="35" borderId="8" xfId="0" applyFont="1" applyFill="1" applyBorder="1" applyAlignment="1">
      <alignment horizontal="center" vertical="center"/>
    </xf>
    <xf numFmtId="0" fontId="1" fillId="36" borderId="16" xfId="0" applyFont="1" applyFill="1" applyBorder="1" applyAlignment="1">
      <alignment horizontal="center" vertical="center"/>
    </xf>
    <xf numFmtId="0" fontId="1" fillId="37" borderId="16" xfId="0" applyFont="1" applyFill="1" applyBorder="1" applyAlignment="1">
      <alignment horizontal="center" vertical="center"/>
    </xf>
    <xf numFmtId="44" fontId="3" fillId="28" borderId="8" xfId="0" applyNumberFormat="1" applyFont="1" applyFill="1" applyBorder="1" applyAlignment="1">
      <alignment horizontal="center" vertical="center"/>
    </xf>
    <xf numFmtId="16" fontId="3" fillId="28" borderId="8" xfId="0" applyNumberFormat="1" applyFont="1" applyFill="1" applyBorder="1" applyAlignment="1">
      <alignment horizontal="center" vertical="center"/>
    </xf>
    <xf numFmtId="0" fontId="3" fillId="28" borderId="17" xfId="0" applyFont="1" applyFill="1" applyBorder="1" applyAlignment="1">
      <alignment horizontal="center" vertical="center"/>
    </xf>
    <xf numFmtId="0" fontId="3" fillId="28" borderId="16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3" fillId="38" borderId="16" xfId="0" applyFont="1" applyFill="1" applyBorder="1" applyAlignment="1">
      <alignment horizontal="center" vertical="center"/>
    </xf>
    <xf numFmtId="44" fontId="3" fillId="38" borderId="8" xfId="0" applyNumberFormat="1" applyFont="1" applyFill="1" applyBorder="1" applyAlignment="1">
      <alignment horizontal="center" vertical="center"/>
    </xf>
    <xf numFmtId="16" fontId="3" fillId="38" borderId="8" xfId="0" applyNumberFormat="1" applyFont="1" applyFill="1" applyBorder="1" applyAlignment="1">
      <alignment horizontal="center" vertical="center"/>
    </xf>
    <xf numFmtId="0" fontId="3" fillId="38" borderId="17" xfId="0" applyFont="1" applyFill="1" applyBorder="1" applyAlignment="1">
      <alignment horizontal="center" vertical="center"/>
    </xf>
    <xf numFmtId="0" fontId="3" fillId="39" borderId="16" xfId="0" applyFont="1" applyFill="1" applyBorder="1" applyAlignment="1">
      <alignment horizontal="center" vertical="center"/>
    </xf>
    <xf numFmtId="44" fontId="3" fillId="39" borderId="8" xfId="0" applyNumberFormat="1" applyFont="1" applyFill="1" applyBorder="1" applyAlignment="1">
      <alignment horizontal="center" vertical="center"/>
    </xf>
    <xf numFmtId="0" fontId="3" fillId="39" borderId="17" xfId="0" applyFont="1" applyFill="1" applyBorder="1" applyAlignment="1">
      <alignment horizontal="center" vertical="center"/>
    </xf>
    <xf numFmtId="16" fontId="3" fillId="39" borderId="8" xfId="0" applyNumberFormat="1" applyFont="1" applyFill="1" applyBorder="1" applyAlignment="1">
      <alignment horizontal="center" vertical="center"/>
    </xf>
    <xf numFmtId="44" fontId="3" fillId="19" borderId="22" xfId="1" applyFont="1" applyFill="1" applyBorder="1" applyAlignment="1">
      <alignment horizontal="center" vertical="center"/>
    </xf>
    <xf numFmtId="44" fontId="3" fillId="19" borderId="8" xfId="1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/>
    <xf numFmtId="44" fontId="3" fillId="0" borderId="8" xfId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38" borderId="8" xfId="0" applyFont="1" applyFill="1" applyBorder="1" applyAlignment="1"/>
    <xf numFmtId="44" fontId="0" fillId="38" borderId="8" xfId="1" applyFont="1" applyFill="1" applyBorder="1" applyAlignment="1">
      <alignment horizontal="center" vertical="center"/>
    </xf>
    <xf numFmtId="44" fontId="11" fillId="0" borderId="8" xfId="0" applyNumberFormat="1" applyFont="1" applyBorder="1" applyAlignment="1"/>
    <xf numFmtId="44" fontId="0" fillId="0" borderId="8" xfId="0" applyNumberFormat="1" applyFont="1" applyBorder="1" applyAlignment="1"/>
    <xf numFmtId="44" fontId="3" fillId="0" borderId="8" xfId="0" applyNumberFormat="1" applyFont="1" applyBorder="1" applyAlignment="1"/>
    <xf numFmtId="0" fontId="3" fillId="0" borderId="8" xfId="0" applyFont="1" applyBorder="1" applyAlignment="1">
      <alignment horizontal="center"/>
    </xf>
    <xf numFmtId="44" fontId="0" fillId="0" borderId="8" xfId="1" applyFont="1" applyBorder="1" applyAlignment="1"/>
    <xf numFmtId="0" fontId="3" fillId="40" borderId="21" xfId="0" applyFont="1" applyFill="1" applyBorder="1" applyAlignment="1">
      <alignment horizontal="center" vertical="center"/>
    </xf>
    <xf numFmtId="44" fontId="3" fillId="40" borderId="22" xfId="1" applyFont="1" applyFill="1" applyBorder="1" applyAlignment="1">
      <alignment horizontal="center" vertical="center"/>
    </xf>
    <xf numFmtId="16" fontId="3" fillId="40" borderId="22" xfId="0" applyNumberFormat="1" applyFont="1" applyFill="1" applyBorder="1" applyAlignment="1">
      <alignment horizontal="center" vertical="center"/>
    </xf>
    <xf numFmtId="0" fontId="3" fillId="40" borderId="26" xfId="0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16" fontId="3" fillId="19" borderId="26" xfId="0" applyNumberFormat="1" applyFont="1" applyFill="1" applyBorder="1" applyAlignment="1">
      <alignment horizontal="center" vertical="center"/>
    </xf>
    <xf numFmtId="44" fontId="4" fillId="41" borderId="3" xfId="1" applyFont="1" applyFill="1" applyBorder="1" applyAlignment="1">
      <alignment horizontal="center" vertical="center"/>
    </xf>
    <xf numFmtId="44" fontId="4" fillId="42" borderId="3" xfId="1" applyFont="1" applyFill="1" applyBorder="1" applyAlignment="1">
      <alignment horizontal="center" vertical="center"/>
    </xf>
    <xf numFmtId="44" fontId="11" fillId="28" borderId="0" xfId="0" applyNumberFormat="1" applyFont="1" applyFill="1" applyAlignment="1"/>
    <xf numFmtId="0" fontId="11" fillId="19" borderId="17" xfId="0" applyFont="1" applyFill="1" applyBorder="1" applyAlignment="1">
      <alignment horizontal="center" vertical="center"/>
    </xf>
    <xf numFmtId="0" fontId="1" fillId="30" borderId="31" xfId="0" applyFont="1" applyFill="1" applyBorder="1" applyAlignment="1">
      <alignment horizontal="center" vertical="center"/>
    </xf>
    <xf numFmtId="44" fontId="1" fillId="30" borderId="8" xfId="0" applyNumberFormat="1" applyFont="1" applyFill="1" applyBorder="1" applyAlignment="1">
      <alignment horizontal="center" vertical="center"/>
    </xf>
    <xf numFmtId="16" fontId="1" fillId="30" borderId="8" xfId="0" applyNumberFormat="1" applyFont="1" applyFill="1" applyBorder="1" applyAlignment="1">
      <alignment horizontal="center" vertical="center"/>
    </xf>
    <xf numFmtId="44" fontId="1" fillId="19" borderId="8" xfId="0" applyNumberFormat="1" applyFont="1" applyFill="1" applyBorder="1" applyAlignment="1">
      <alignment horizontal="center" vertical="center"/>
    </xf>
    <xf numFmtId="16" fontId="1" fillId="19" borderId="8" xfId="0" applyNumberFormat="1" applyFont="1" applyFill="1" applyBorder="1" applyAlignment="1">
      <alignment horizontal="center" vertical="center"/>
    </xf>
    <xf numFmtId="0" fontId="0" fillId="30" borderId="8" xfId="0" applyFont="1" applyFill="1" applyBorder="1" applyAlignment="1"/>
    <xf numFmtId="0" fontId="3" fillId="30" borderId="8" xfId="0" applyFont="1" applyFill="1" applyBorder="1" applyAlignment="1"/>
    <xf numFmtId="44" fontId="0" fillId="30" borderId="8" xfId="0" applyNumberFormat="1" applyFont="1" applyFill="1" applyBorder="1" applyAlignment="1"/>
    <xf numFmtId="0" fontId="0" fillId="0" borderId="0" xfId="0" applyFont="1" applyBorder="1" applyAlignment="1">
      <alignment vertical="center" wrapText="1"/>
    </xf>
    <xf numFmtId="0" fontId="0" fillId="19" borderId="17" xfId="0" applyFont="1" applyFill="1" applyBorder="1" applyAlignment="1">
      <alignment horizontal="center" vertical="center"/>
    </xf>
    <xf numFmtId="0" fontId="1" fillId="30" borderId="17" xfId="0" applyFont="1" applyFill="1" applyBorder="1" applyAlignment="1">
      <alignment horizontal="center" vertical="center"/>
    </xf>
    <xf numFmtId="0" fontId="1" fillId="19" borderId="17" xfId="0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/>
    </xf>
    <xf numFmtId="0" fontId="11" fillId="30" borderId="8" xfId="0" applyFont="1" applyFill="1" applyBorder="1" applyAlignment="1">
      <alignment horizontal="center" vertical="center"/>
    </xf>
    <xf numFmtId="0" fontId="31" fillId="30" borderId="8" xfId="0" applyFont="1" applyFill="1" applyBorder="1" applyAlignment="1">
      <alignment horizontal="center" vertical="center"/>
    </xf>
    <xf numFmtId="0" fontId="1" fillId="30" borderId="8" xfId="0" applyFont="1" applyFill="1" applyBorder="1" applyAlignment="1"/>
    <xf numFmtId="44" fontId="1" fillId="30" borderId="8" xfId="1" applyFont="1" applyFill="1" applyBorder="1" applyAlignment="1"/>
    <xf numFmtId="0" fontId="3" fillId="30" borderId="16" xfId="0" applyFont="1" applyFill="1" applyBorder="1" applyAlignment="1">
      <alignment horizontal="center" vertical="center"/>
    </xf>
    <xf numFmtId="44" fontId="3" fillId="30" borderId="8" xfId="0" applyNumberFormat="1" applyFont="1" applyFill="1" applyBorder="1" applyAlignment="1">
      <alignment horizontal="center" vertical="center"/>
    </xf>
    <xf numFmtId="16" fontId="3" fillId="30" borderId="8" xfId="0" applyNumberFormat="1" applyFont="1" applyFill="1" applyBorder="1" applyAlignment="1">
      <alignment horizontal="center" vertical="center"/>
    </xf>
    <xf numFmtId="0" fontId="3" fillId="30" borderId="17" xfId="0" applyFont="1" applyFill="1" applyBorder="1" applyAlignment="1">
      <alignment horizontal="center" vertical="center"/>
    </xf>
    <xf numFmtId="0" fontId="1" fillId="43" borderId="16" xfId="0" applyFont="1" applyFill="1" applyBorder="1" applyAlignment="1">
      <alignment horizontal="center" vertical="center"/>
    </xf>
    <xf numFmtId="0" fontId="29" fillId="44" borderId="8" xfId="0" applyFont="1" applyFill="1" applyBorder="1" applyAlignment="1"/>
    <xf numFmtId="44" fontId="29" fillId="44" borderId="8" xfId="1" applyFont="1" applyFill="1" applyBorder="1" applyAlignment="1"/>
    <xf numFmtId="44" fontId="1" fillId="30" borderId="8" xfId="0" applyNumberFormat="1" applyFont="1" applyFill="1" applyBorder="1" applyAlignment="1"/>
    <xf numFmtId="0" fontId="0" fillId="30" borderId="8" xfId="0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0" fontId="1" fillId="30" borderId="16" xfId="0" applyFont="1" applyFill="1" applyBorder="1" applyAlignment="1">
      <alignment horizontal="center" vertical="center"/>
    </xf>
    <xf numFmtId="0" fontId="3" fillId="19" borderId="31" xfId="0" applyFont="1" applyFill="1" applyBorder="1" applyAlignment="1">
      <alignment horizontal="center" vertical="center"/>
    </xf>
    <xf numFmtId="0" fontId="1" fillId="43" borderId="31" xfId="0" applyFont="1" applyFill="1" applyBorder="1" applyAlignment="1">
      <alignment horizontal="center" vertical="center"/>
    </xf>
    <xf numFmtId="0" fontId="1" fillId="43" borderId="8" xfId="0" applyFont="1" applyFill="1" applyBorder="1" applyAlignment="1">
      <alignment horizontal="center" vertical="center"/>
    </xf>
    <xf numFmtId="0" fontId="1" fillId="19" borderId="27" xfId="0" applyFont="1" applyFill="1" applyBorder="1" applyAlignment="1">
      <alignment horizontal="center" vertical="center"/>
    </xf>
    <xf numFmtId="0" fontId="1" fillId="30" borderId="27" xfId="0" applyFont="1" applyFill="1" applyBorder="1" applyAlignment="1">
      <alignment horizontal="center" vertical="center"/>
    </xf>
    <xf numFmtId="0" fontId="1" fillId="43" borderId="21" xfId="0" applyFont="1" applyFill="1" applyBorder="1" applyAlignment="1">
      <alignment horizontal="center" vertical="center"/>
    </xf>
    <xf numFmtId="44" fontId="1" fillId="4" borderId="26" xfId="1" applyNumberFormat="1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44" fontId="11" fillId="0" borderId="0" xfId="0" applyNumberFormat="1" applyFont="1" applyAlignment="1"/>
    <xf numFmtId="0" fontId="0" fillId="30" borderId="0" xfId="0" applyFont="1" applyFill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16" fontId="3" fillId="19" borderId="17" xfId="0" applyNumberFormat="1" applyFont="1" applyFill="1" applyBorder="1" applyAlignment="1">
      <alignment horizontal="center" vertical="center"/>
    </xf>
    <xf numFmtId="0" fontId="1" fillId="45" borderId="8" xfId="0" applyFont="1" applyFill="1" applyBorder="1" applyAlignment="1">
      <alignment horizontal="center" vertical="center"/>
    </xf>
    <xf numFmtId="44" fontId="3" fillId="46" borderId="8" xfId="0" applyNumberFormat="1" applyFont="1" applyFill="1" applyBorder="1" applyAlignment="1">
      <alignment horizontal="center" vertical="center"/>
    </xf>
    <xf numFmtId="16" fontId="3" fillId="46" borderId="8" xfId="0" applyNumberFormat="1" applyFont="1" applyFill="1" applyBorder="1" applyAlignment="1">
      <alignment horizontal="center" vertical="center"/>
    </xf>
    <xf numFmtId="0" fontId="3" fillId="46" borderId="17" xfId="0" applyFont="1" applyFill="1" applyBorder="1" applyAlignment="1">
      <alignment horizontal="center" vertical="center"/>
    </xf>
    <xf numFmtId="0" fontId="0" fillId="46" borderId="8" xfId="0" applyFont="1" applyFill="1" applyBorder="1" applyAlignment="1">
      <alignment horizontal="center" vertical="center"/>
    </xf>
    <xf numFmtId="0" fontId="0" fillId="47" borderId="0" xfId="0" applyFont="1" applyFill="1" applyAlignment="1"/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44" fontId="1" fillId="27" borderId="8" xfId="1" applyFont="1" applyFill="1" applyBorder="1" applyAlignment="1">
      <alignment horizontal="center" vertical="center"/>
    </xf>
    <xf numFmtId="0" fontId="1" fillId="48" borderId="8" xfId="0" applyFont="1" applyFill="1" applyBorder="1" applyAlignment="1">
      <alignment horizontal="center" vertical="center"/>
    </xf>
    <xf numFmtId="44" fontId="1" fillId="48" borderId="8" xfId="1" applyFont="1" applyFill="1" applyBorder="1" applyAlignment="1">
      <alignment horizontal="center" vertical="center"/>
    </xf>
    <xf numFmtId="0" fontId="1" fillId="48" borderId="16" xfId="0" applyFont="1" applyFill="1" applyBorder="1" applyAlignment="1">
      <alignment horizontal="center" vertical="center"/>
    </xf>
    <xf numFmtId="16" fontId="1" fillId="27" borderId="8" xfId="0" applyNumberFormat="1" applyFont="1" applyFill="1" applyBorder="1" applyAlignment="1">
      <alignment horizontal="center" vertical="center"/>
    </xf>
    <xf numFmtId="44" fontId="1" fillId="43" borderId="8" xfId="1" applyFont="1" applyFill="1" applyBorder="1" applyAlignment="1">
      <alignment horizontal="center" vertical="center"/>
    </xf>
    <xf numFmtId="16" fontId="1" fillId="43" borderId="8" xfId="0" applyNumberFormat="1" applyFont="1" applyFill="1" applyBorder="1" applyAlignment="1">
      <alignment horizontal="center" vertical="center"/>
    </xf>
    <xf numFmtId="44" fontId="1" fillId="27" borderId="8" xfId="1" applyNumberFormat="1" applyFont="1" applyFill="1" applyBorder="1" applyAlignment="1">
      <alignment horizontal="center" vertical="center"/>
    </xf>
    <xf numFmtId="44" fontId="0" fillId="19" borderId="8" xfId="1" applyNumberFormat="1" applyFont="1" applyFill="1" applyBorder="1" applyAlignment="1">
      <alignment horizontal="center" vertical="center"/>
    </xf>
    <xf numFmtId="44" fontId="3" fillId="19" borderId="8" xfId="1" applyNumberFormat="1" applyFont="1" applyFill="1" applyBorder="1" applyAlignment="1">
      <alignment horizontal="center" vertical="center"/>
    </xf>
    <xf numFmtId="44" fontId="1" fillId="43" borderId="8" xfId="1" applyNumberFormat="1" applyFont="1" applyFill="1" applyBorder="1" applyAlignment="1">
      <alignment horizontal="center" vertical="center"/>
    </xf>
    <xf numFmtId="0" fontId="1" fillId="27" borderId="17" xfId="0" applyFont="1" applyFill="1" applyBorder="1" applyAlignment="1">
      <alignment horizontal="center" vertical="center"/>
    </xf>
    <xf numFmtId="0" fontId="29" fillId="49" borderId="8" xfId="0" applyFont="1" applyFill="1" applyBorder="1" applyAlignment="1">
      <alignment horizontal="center" vertical="center"/>
    </xf>
    <xf numFmtId="44" fontId="29" fillId="49" borderId="8" xfId="1" applyNumberFormat="1" applyFont="1" applyFill="1" applyBorder="1" applyAlignment="1">
      <alignment horizontal="center" vertical="center"/>
    </xf>
    <xf numFmtId="16" fontId="29" fillId="49" borderId="8" xfId="0" applyNumberFormat="1" applyFont="1" applyFill="1" applyBorder="1" applyAlignment="1">
      <alignment horizontal="center" vertical="center"/>
    </xf>
    <xf numFmtId="16" fontId="1" fillId="48" borderId="8" xfId="0" applyNumberFormat="1" applyFont="1" applyFill="1" applyBorder="1" applyAlignment="1">
      <alignment horizontal="center" vertical="center"/>
    </xf>
    <xf numFmtId="0" fontId="0" fillId="0" borderId="0" xfId="0" applyFont="1" applyBorder="1" applyAlignment="1"/>
    <xf numFmtId="0" fontId="1" fillId="27" borderId="30" xfId="0" applyFont="1" applyFill="1" applyBorder="1" applyAlignment="1">
      <alignment horizontal="center" vertical="center"/>
    </xf>
    <xf numFmtId="0" fontId="1" fillId="27" borderId="22" xfId="0" applyFont="1" applyFill="1" applyBorder="1" applyAlignment="1">
      <alignment horizontal="center" vertical="center"/>
    </xf>
    <xf numFmtId="44" fontId="1" fillId="27" borderId="22" xfId="1" applyNumberFormat="1" applyFont="1" applyFill="1" applyBorder="1" applyAlignment="1">
      <alignment horizontal="center" vertical="center"/>
    </xf>
    <xf numFmtId="16" fontId="1" fillId="27" borderId="22" xfId="0" applyNumberFormat="1" applyFont="1" applyFill="1" applyBorder="1" applyAlignment="1">
      <alignment horizontal="center" vertical="center"/>
    </xf>
    <xf numFmtId="0" fontId="1" fillId="27" borderId="34" xfId="0" applyFont="1" applyFill="1" applyBorder="1" applyAlignment="1">
      <alignment horizontal="center" vertical="center"/>
    </xf>
    <xf numFmtId="44" fontId="1" fillId="27" borderId="17" xfId="1" applyNumberFormat="1" applyFont="1" applyFill="1" applyBorder="1" applyAlignment="1">
      <alignment horizontal="center" vertical="center"/>
    </xf>
    <xf numFmtId="16" fontId="1" fillId="27" borderId="26" xfId="0" applyNumberFormat="1" applyFont="1" applyFill="1" applyBorder="1" applyAlignment="1">
      <alignment horizontal="center" vertical="center"/>
    </xf>
    <xf numFmtId="0" fontId="1" fillId="27" borderId="33" xfId="0" applyFont="1" applyFill="1" applyBorder="1" applyAlignment="1">
      <alignment horizontal="center" vertical="center"/>
    </xf>
    <xf numFmtId="0" fontId="1" fillId="50" borderId="8" xfId="0" applyFont="1" applyFill="1" applyBorder="1" applyAlignment="1">
      <alignment horizontal="center" vertical="center"/>
    </xf>
    <xf numFmtId="44" fontId="1" fillId="50" borderId="8" xfId="1" applyNumberFormat="1" applyFont="1" applyFill="1" applyBorder="1" applyAlignment="1">
      <alignment horizontal="center" vertical="center"/>
    </xf>
    <xf numFmtId="16" fontId="1" fillId="50" borderId="8" xfId="0" applyNumberFormat="1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/>
    </xf>
    <xf numFmtId="44" fontId="0" fillId="0" borderId="0" xfId="0" applyNumberFormat="1" applyFont="1" applyBorder="1" applyAlignment="1">
      <alignment vertical="center" wrapText="1"/>
    </xf>
    <xf numFmtId="44" fontId="0" fillId="0" borderId="0" xfId="0" applyNumberFormat="1" applyFont="1" applyFill="1" applyAlignment="1">
      <alignment horizontal="center" vertical="center"/>
    </xf>
    <xf numFmtId="14" fontId="1" fillId="27" borderId="8" xfId="1" applyNumberFormat="1" applyFont="1" applyFill="1" applyBorder="1" applyAlignment="1">
      <alignment horizontal="center" vertical="center"/>
    </xf>
    <xf numFmtId="14" fontId="1" fillId="27" borderId="8" xfId="0" applyNumberFormat="1" applyFont="1" applyFill="1" applyBorder="1" applyAlignment="1">
      <alignment horizontal="center" vertical="center"/>
    </xf>
    <xf numFmtId="14" fontId="0" fillId="19" borderId="8" xfId="0" applyNumberFormat="1" applyFont="1" applyFill="1" applyBorder="1" applyAlignment="1">
      <alignment horizontal="center" vertical="center"/>
    </xf>
    <xf numFmtId="14" fontId="3" fillId="19" borderId="8" xfId="0" applyNumberFormat="1" applyFont="1" applyFill="1" applyBorder="1" applyAlignment="1">
      <alignment horizontal="center" vertical="center"/>
    </xf>
    <xf numFmtId="14" fontId="1" fillId="43" borderId="8" xfId="1" applyNumberFormat="1" applyFont="1" applyFill="1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/>
    </xf>
    <xf numFmtId="0" fontId="1" fillId="12" borderId="29" xfId="0" applyFont="1" applyFill="1" applyBorder="1" applyAlignment="1">
      <alignment horizontal="center" vertical="center"/>
    </xf>
    <xf numFmtId="44" fontId="1" fillId="12" borderId="32" xfId="1" applyFont="1" applyFill="1" applyBorder="1" applyAlignment="1">
      <alignment horizontal="center" vertical="center"/>
    </xf>
    <xf numFmtId="0" fontId="0" fillId="52" borderId="8" xfId="0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52" borderId="8" xfId="1" applyFont="1" applyFill="1" applyBorder="1" applyAlignment="1">
      <alignment horizontal="center" vertical="center"/>
    </xf>
    <xf numFmtId="0" fontId="0" fillId="51" borderId="8" xfId="0" applyFont="1" applyFill="1" applyBorder="1" applyAlignment="1">
      <alignment horizontal="center" vertical="center"/>
    </xf>
    <xf numFmtId="44" fontId="0" fillId="51" borderId="8" xfId="1" applyFont="1" applyFill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44" fontId="30" fillId="0" borderId="0" xfId="0" applyNumberFormat="1" applyFont="1" applyAlignment="1">
      <alignment horizontal="center" vertical="center"/>
    </xf>
    <xf numFmtId="0" fontId="1" fillId="30" borderId="8" xfId="0" applyFont="1" applyFill="1" applyBorder="1" applyAlignment="1">
      <alignment horizontal="center" vertical="center"/>
    </xf>
    <xf numFmtId="0" fontId="0" fillId="53" borderId="8" xfId="0" applyFont="1" applyFill="1" applyBorder="1" applyAlignment="1">
      <alignment horizontal="center" vertical="center"/>
    </xf>
    <xf numFmtId="44" fontId="0" fillId="53" borderId="8" xfId="1" applyFont="1" applyFill="1" applyBorder="1" applyAlignment="1">
      <alignment horizontal="center" vertical="center"/>
    </xf>
    <xf numFmtId="16" fontId="0" fillId="51" borderId="8" xfId="0" applyNumberFormat="1" applyFont="1" applyFill="1" applyBorder="1" applyAlignment="1">
      <alignment horizontal="center" vertical="center"/>
    </xf>
    <xf numFmtId="44" fontId="0" fillId="30" borderId="8" xfId="1" applyFont="1" applyFill="1" applyBorder="1" applyAlignment="1">
      <alignment horizontal="center" vertical="center"/>
    </xf>
    <xf numFmtId="16" fontId="0" fillId="30" borderId="8" xfId="0" applyNumberFormat="1" applyFont="1" applyFill="1" applyBorder="1" applyAlignment="1">
      <alignment horizontal="center" vertical="center"/>
    </xf>
    <xf numFmtId="0" fontId="0" fillId="31" borderId="8" xfId="0" applyFont="1" applyFill="1" applyBorder="1" applyAlignment="1">
      <alignment horizontal="center" vertical="center"/>
    </xf>
    <xf numFmtId="44" fontId="0" fillId="31" borderId="8" xfId="1" applyFont="1" applyFill="1" applyBorder="1" applyAlignment="1">
      <alignment horizontal="center" vertical="center"/>
    </xf>
    <xf numFmtId="0" fontId="3" fillId="40" borderId="8" xfId="0" applyFont="1" applyFill="1" applyBorder="1" applyAlignment="1">
      <alignment horizontal="center" vertical="center"/>
    </xf>
    <xf numFmtId="0" fontId="3" fillId="54" borderId="8" xfId="0" applyFont="1" applyFill="1" applyBorder="1" applyAlignment="1">
      <alignment horizontal="center" vertical="center"/>
    </xf>
    <xf numFmtId="0" fontId="0" fillId="54" borderId="8" xfId="0" applyFont="1" applyFill="1" applyBorder="1" applyAlignment="1">
      <alignment horizontal="center" vertical="center"/>
    </xf>
    <xf numFmtId="0" fontId="3" fillId="55" borderId="8" xfId="0" applyFont="1" applyFill="1" applyBorder="1" applyAlignment="1">
      <alignment horizontal="center" vertical="center"/>
    </xf>
    <xf numFmtId="44" fontId="0" fillId="55" borderId="8" xfId="0" applyNumberFormat="1" applyFont="1" applyFill="1" applyBorder="1" applyAlignment="1">
      <alignment horizontal="center" vertical="center"/>
    </xf>
    <xf numFmtId="44" fontId="3" fillId="40" borderId="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5" fillId="24" borderId="8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4" fontId="19" fillId="16" borderId="8" xfId="0" applyNumberFormat="1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44" fontId="4" fillId="6" borderId="4" xfId="1" applyFont="1" applyFill="1" applyBorder="1" applyAlignment="1">
      <alignment horizontal="center" vertical="center"/>
    </xf>
    <xf numFmtId="44" fontId="2" fillId="0" borderId="5" xfId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44" fontId="0" fillId="38" borderId="8" xfId="1" applyFont="1" applyFill="1" applyBorder="1" applyAlignment="1">
      <alignment horizontal="center" vertical="center"/>
    </xf>
    <xf numFmtId="0" fontId="3" fillId="30" borderId="17" xfId="0" applyFont="1" applyFill="1" applyBorder="1" applyAlignment="1">
      <alignment horizontal="center"/>
    </xf>
    <xf numFmtId="0" fontId="3" fillId="30" borderId="16" xfId="0" applyFont="1" applyFill="1" applyBorder="1" applyAlignment="1">
      <alignment horizontal="center"/>
    </xf>
    <xf numFmtId="44" fontId="29" fillId="44" borderId="8" xfId="0" applyNumberFormat="1" applyFont="1" applyFill="1" applyBorder="1" applyAlignment="1">
      <alignment horizontal="center"/>
    </xf>
    <xf numFmtId="0" fontId="32" fillId="44" borderId="8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 vertical="center" wrapText="1"/>
    </xf>
    <xf numFmtId="44" fontId="29" fillId="44" borderId="8" xfId="0" applyNumberFormat="1" applyFont="1" applyFill="1" applyBorder="1" applyAlignment="1">
      <alignment horizontal="center" vertical="center"/>
    </xf>
    <xf numFmtId="0" fontId="3" fillId="30" borderId="17" xfId="0" applyFont="1" applyFill="1" applyBorder="1" applyAlignment="1">
      <alignment horizontal="center" vertical="center"/>
    </xf>
    <xf numFmtId="0" fontId="3" fillId="30" borderId="16" xfId="0" applyFont="1" applyFill="1" applyBorder="1" applyAlignment="1">
      <alignment horizontal="center" vertical="center"/>
    </xf>
    <xf numFmtId="0" fontId="32" fillId="44" borderId="8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6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339933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339933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92D050"/>
        <name val="Arial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6B8AF"/>
          <bgColor rgb="FFE6B8A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EA9999"/>
          <bgColor rgb="FFEA99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d/m"/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434343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26262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Arial"/>
        <scheme val="minor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A4C2F4"/>
          <bgColor rgb="FFA4C2F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4CCCC"/>
          <bgColor rgb="FFF4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39966"/>
      <color rgb="FF339933"/>
      <color rgb="FF33CC33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654B15-188E-4215-9141-D2519FE2FE43}" name="Tabela41394" displayName="Tabela41394" ref="M2:N9" totalsRowShown="0" headerRowDxfId="619" dataDxfId="617" headerRowBorderDxfId="618" tableBorderDxfId="616" totalsRowBorderDxfId="615">
  <autoFilter ref="M2:N9" xr:uid="{663D6763-BE15-4F85-9C29-0879C3D450DB}"/>
  <tableColumns count="2">
    <tableColumn id="1" xr3:uid="{BF120073-1D0E-43AF-8263-DE8FF256CD9C}" name="Planos" dataDxfId="614"/>
    <tableColumn id="2" xr3:uid="{C1061EFB-2267-4F86-BAED-8790BF6F7B89}" name="Valores" dataDxfId="613" dataCellStyle="Moeda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768636-27FF-4918-8C8E-228612141951}" name="Tabela514105" displayName="Tabela514105" ref="B22:C33" totalsRowCount="1" headerRowDxfId="612" dataDxfId="610" headerRowBorderDxfId="611" tableBorderDxfId="609" totalsRowBorderDxfId="608">
  <autoFilter ref="B22:C32" xr:uid="{08838199-8AA9-4F8E-B846-5AA734C51DA4}"/>
  <tableColumns count="2">
    <tableColumn id="1" xr3:uid="{C3AE2B51-FF1F-4601-9398-73AECD714D5D}" name="Distribuição fixa" dataDxfId="607" totalsRowDxfId="606"/>
    <tableColumn id="2" xr3:uid="{14FD0567-3480-48E9-AE5D-6DCAD1470AE6}" name="Valores" dataDxfId="605" totalsRowDxfId="604" dataCellStyle="Moeda" totalsRow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8D5667-BCD0-4155-8752-909441EA631E}" name="Tabela615166" displayName="Tabela615166" ref="E23:G33" totalsRowShown="0" headerRowDxfId="603" dataDxfId="601" headerRowBorderDxfId="602" tableBorderDxfId="600" totalsRowBorderDxfId="599">
  <autoFilter ref="E23:G33" xr:uid="{6B6A8A53-E809-4CCA-8594-89322C34C92B}"/>
  <tableColumns count="3">
    <tableColumn id="1" xr3:uid="{FEE0F543-EAB3-45BC-A6FF-0623B132D7F5}" name="Restante" dataDxfId="598"/>
    <tableColumn id="2" xr3:uid="{AA4D7D6F-CF43-4416-A7FB-5A6EEDAA0020}" name="Valores" dataDxfId="597" dataCellStyle="Moeda"/>
    <tableColumn id="3" xr3:uid="{08513F9C-EEA5-40F8-BB22-8B659DB5C94B}" name="Acumulado" dataDxfId="59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3A292C-FF63-4B4C-A0FF-F90D6CE1E3F3}" name="Tabela11137" displayName="Tabela11137" ref="I2:K17" totalsRowShown="0" headerRowDxfId="595" dataDxfId="593" headerRowBorderDxfId="594" tableBorderDxfId="592">
  <autoFilter ref="I2:K17" xr:uid="{DFDDF927-AE25-4602-B67A-B4C264B7E79B}"/>
  <tableColumns count="3">
    <tableColumn id="1" xr3:uid="{2BEA69CF-E81D-4397-9A11-DF3FF3586416}" name="Cartão crédito" dataDxfId="591"/>
    <tableColumn id="2" xr3:uid="{C0D9154F-C637-410E-BDA0-032AD4336B6A}" name="Valores" dataDxfId="590" dataCellStyle="Moeda"/>
    <tableColumn id="3" xr3:uid="{B82B9523-0CB9-4BE7-959C-B44EDCDE5119}" name="Parcelas" dataDxfId="589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A579CF-5226-4843-B12B-8412CA0B7531}" name="Tabela1711" displayName="Tabela1711" ref="P2:S57" totalsRowShown="0" headerRowDxfId="588" dataDxfId="586" headerRowBorderDxfId="587" tableBorderDxfId="585">
  <autoFilter ref="P2:S57" xr:uid="{85CD1F04-9EB1-4DFC-AC3B-28D38F368FDB}"/>
  <sortState xmlns:xlrd2="http://schemas.microsoft.com/office/spreadsheetml/2017/richdata2" ref="P3:S57">
    <sortCondition ref="S2:S57"/>
  </sortState>
  <tableColumns count="4">
    <tableColumn id="1" xr3:uid="{11ABAB23-F2E8-43B5-AAFF-ED055B493740}" name="Gastos atuais detalhados" dataDxfId="584"/>
    <tableColumn id="2" xr3:uid="{6EDF2CB9-15D2-4187-90DB-1F2447FF55BE}" name="Valores" dataDxfId="583"/>
    <tableColumn id="3" xr3:uid="{7C880747-371C-43CD-A244-7B5CAEDC9854}" name="Data" dataDxfId="582"/>
    <tableColumn id="4" xr3:uid="{539101B4-33CA-43EE-AF10-8F88BE2C2281}" name="Motivo" dataDxfId="581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7CFBC2-992A-47A0-9E0D-9E7B89C8AA5E}" name="Tabela2" displayName="Tabela2" ref="I21:J30" totalsRowShown="0" headerRowDxfId="580" headerRowBorderDxfId="579" tableBorderDxfId="578" totalsRowBorderDxfId="577">
  <autoFilter ref="I21:J30" xr:uid="{D27CFBC2-992A-47A0-9E0D-9E7B89C8AA5E}"/>
  <tableColumns count="2">
    <tableColumn id="1" xr3:uid="{693086A3-387F-4534-B902-51A76954CAF7}" name="Gastos atuais" dataDxfId="576"/>
    <tableColumn id="2" xr3:uid="{69C0B3DA-8711-4F50-8DE4-E8743622CE73}" name="Valores" dataDxfId="575" dataCellStyle="Moeda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E8B552-5EFE-43F8-81C6-2B5EABAB70C3}" name="Tabela16" displayName="Tabela16" ref="E2:F13" totalsRowShown="0" headerRowDxfId="574" headerRowBorderDxfId="573" tableBorderDxfId="572" totalsRowBorderDxfId="571">
  <autoFilter ref="E2:F13" xr:uid="{38E8B552-5EFE-43F8-81C6-2B5EABAB70C3}"/>
  <tableColumns count="2">
    <tableColumn id="1" xr3:uid="{29FA626C-9E98-4466-AF9A-95A2E06E381C}" name="Custos fixos" dataDxfId="570"/>
    <tableColumn id="2" xr3:uid="{572BBA7D-0A0E-4081-8EEA-12145942F747}" name="Valores" dataDxfId="569" dataCellStyle="Moeda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0FE809-B193-4027-B288-D57C89C5D167}" name="Tabela413949" displayName="Tabela413949" ref="M2:N9" totalsRowShown="0" headerRowDxfId="568" dataDxfId="566" headerRowBorderDxfId="567" tableBorderDxfId="565" totalsRowBorderDxfId="564">
  <autoFilter ref="M2:N9" xr:uid="{663D6763-BE15-4F85-9C29-0879C3D450DB}"/>
  <tableColumns count="2">
    <tableColumn id="1" xr3:uid="{CCAE5F3A-D367-40C1-8158-9B442BE9502F}" name="Planos" dataDxfId="563"/>
    <tableColumn id="2" xr3:uid="{EF5F42D2-D77A-4E4C-917A-242C137D829B}" name="Valores" dataDxfId="562" dataCellStyle="Moeda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C76135-1F05-4827-8064-40CC6B7B822D}" name="Tabela51410510" displayName="Tabela51410510" ref="B22:C33" totalsRowCount="1" headerRowDxfId="561" dataDxfId="559" headerRowBorderDxfId="560" tableBorderDxfId="558" totalsRowBorderDxfId="557">
  <autoFilter ref="B22:C32" xr:uid="{08838199-8AA9-4F8E-B846-5AA734C51DA4}"/>
  <tableColumns count="2">
    <tableColumn id="1" xr3:uid="{34F6B7D1-FE26-42CD-9853-1C93D68D052C}" name="Distribuição fixa" dataDxfId="556" totalsRowDxfId="555"/>
    <tableColumn id="2" xr3:uid="{3064072E-3286-439B-B4BC-39D8FB172165}" name="Valores" dataDxfId="554" totalsRowDxfId="553" dataCellStyle="Moeda" totalsRowCellStyle="Moed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F202C6-2534-46ED-A1AE-56FCE037EDA1}" name="Tabela61516612" displayName="Tabela61516612" ref="E23:G33" totalsRowShown="0" headerRowDxfId="552" dataDxfId="550" headerRowBorderDxfId="551" tableBorderDxfId="549" totalsRowBorderDxfId="548">
  <autoFilter ref="E23:G33" xr:uid="{6B6A8A53-E809-4CCA-8594-89322C34C92B}"/>
  <tableColumns count="3">
    <tableColumn id="1" xr3:uid="{1727CE32-C1A5-490B-B0A6-FBE0214BE3F4}" name="Restante" dataDxfId="547"/>
    <tableColumn id="2" xr3:uid="{8847CA5F-57C6-49D1-9A8A-14D430003776}" name="Valores" dataDxfId="546" dataCellStyle="Moeda"/>
    <tableColumn id="3" xr3:uid="{03F575EC-E8D8-46CC-86B0-42BBAF94E753}" name="Acumulado" dataDxfId="545">
      <calculatedColumnFormula>SUM(Tabela61516612[[#This Row],[Valores]]+Tabela615166[[#This Row],[Valores]])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EF9BF0D-3573-4916-955B-1DFE55D7D5F9}" name="Tabela171114" displayName="Tabela171114" ref="P2:T80" totalsRowShown="0" headerRowDxfId="544" dataDxfId="542" headerRowBorderDxfId="543" tableBorderDxfId="541">
  <autoFilter ref="P2:T80" xr:uid="{85CD1F04-9EB1-4DFC-AC3B-28D38F368FDB}"/>
  <sortState xmlns:xlrd2="http://schemas.microsoft.com/office/spreadsheetml/2017/richdata2" ref="P3:S80">
    <sortCondition ref="P2:P80"/>
  </sortState>
  <tableColumns count="5">
    <tableColumn id="1" xr3:uid="{000D055E-8E6A-4F77-A38A-E021C35FB594}" name="Gastos atuais detalhados" dataDxfId="540"/>
    <tableColumn id="2" xr3:uid="{84B427B9-2FAB-418A-983D-E6A18C17BDE3}" name="Valores" dataDxfId="539"/>
    <tableColumn id="3" xr3:uid="{157EBB43-165A-40EB-B2BD-FE1661EE90BD}" name="Data" dataDxfId="538"/>
    <tableColumn id="4" xr3:uid="{93DC1BD1-B7CD-4DC0-96AD-F6C31915E80F}" name="Motivo" dataDxfId="537"/>
    <tableColumn id="5" xr3:uid="{5D44257D-4B35-4D03-8EB5-88D1A8D5EB9E}" name="Coluna1" dataDxfId="536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2F78A20-EEDF-456E-BD55-41FD02C00176}" name="Tabela215" displayName="Tabela215" ref="I21:J30" totalsRowShown="0" headerRowDxfId="535" headerRowBorderDxfId="534" tableBorderDxfId="533" totalsRowBorderDxfId="532">
  <autoFilter ref="I21:J30" xr:uid="{D27CFBC2-992A-47A0-9E0D-9E7B89C8AA5E}"/>
  <tableColumns count="2">
    <tableColumn id="1" xr3:uid="{E02639EF-90F7-4319-A519-D9B95BF9D771}" name="Gastos atuais" dataDxfId="531"/>
    <tableColumn id="2" xr3:uid="{BEED9E7D-2C96-4183-925C-DCAE6BCD911F}" name="Valores" dataDxfId="530" dataCellStyle="Moeda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5BA2207-72CC-4DD6-8A74-19D71C5DA046}" name="Tabela15" displayName="Tabela15" ref="E2:F13" totalsRowShown="0" headerRowDxfId="529" tableBorderDxfId="528">
  <autoFilter ref="E2:F13" xr:uid="{D5BA2207-72CC-4DD6-8A74-19D71C5DA046}"/>
  <tableColumns count="2">
    <tableColumn id="1" xr3:uid="{A455D12D-0380-41F1-8D0E-B8E10A81D18B}" name="Custos fixos" dataDxfId="527"/>
    <tableColumn id="2" xr3:uid="{B84DDC14-4955-40E7-8845-78AEEB491565}" name="Valores" dataDxfId="526" dataCellStyle="Moeda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E00C3A-777E-403F-990D-76C32B49BC77}" name="Tabela12" displayName="Tabela12" ref="I2:K10" totalsRowShown="0" tableBorderDxfId="525">
  <autoFilter ref="I2:K10" xr:uid="{ADE00C3A-777E-403F-990D-76C32B49BC77}"/>
  <tableColumns count="3">
    <tableColumn id="1" xr3:uid="{D016C0D9-58C0-4598-87B8-F7950CF99663}" name="Cartão crédito" dataDxfId="524"/>
    <tableColumn id="2" xr3:uid="{98069785-890C-4341-8B3C-51F519E34600}" name="Valores" dataDxfId="523" dataCellStyle="Moeda"/>
    <tableColumn id="3" xr3:uid="{49549E18-17C5-4E8F-9410-F5EDCB391212}" name="Parcelas" dataDxfId="522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10DA3-EF83-4524-9D8F-9C51B304CF90}" name="Tabela4139492" displayName="Tabela4139492" ref="M2:N9" totalsRowShown="0" headerRowDxfId="521" dataDxfId="519" headerRowBorderDxfId="520" tableBorderDxfId="518" totalsRowBorderDxfId="517">
  <autoFilter ref="M2:N9" xr:uid="{663D6763-BE15-4F85-9C29-0879C3D450DB}"/>
  <tableColumns count="2">
    <tableColumn id="1" xr3:uid="{38E289CF-A1E8-4390-8419-E2252A03DEDB}" name="Planos" dataDxfId="516"/>
    <tableColumn id="2" xr3:uid="{4ECF3342-786B-4C1D-848B-72E3C42F23E9}" name="Valores" dataDxfId="515" dataCellStyle="Moeda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72C248-2502-4C5D-9C43-5A9C4D943077}" name="Tabela514105108" displayName="Tabela514105108" ref="B22:C33" totalsRowCount="1" headerRowDxfId="514" dataDxfId="512" headerRowBorderDxfId="513" tableBorderDxfId="511" totalsRowBorderDxfId="510">
  <autoFilter ref="B22:C32" xr:uid="{08838199-8AA9-4F8E-B846-5AA734C51DA4}"/>
  <tableColumns count="2">
    <tableColumn id="1" xr3:uid="{305B27B6-EBFD-4FDF-A395-956052B4A81F}" name="Distribuição fixa" dataDxfId="509" totalsRowDxfId="508"/>
    <tableColumn id="2" xr3:uid="{D60E54E1-4F42-4887-8F5E-142E80AF371C}" name="Valores" dataDxfId="507" totalsRowDxfId="506" dataCellStyle="Moeda" totalsRowCellStyle="Moed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BAD894-02E9-411B-A74E-610097585CCF}" name="Tabela6151661218" displayName="Tabela6151661218" ref="E23:G33" totalsRowShown="0" headerRowDxfId="505" dataDxfId="503" headerRowBorderDxfId="504" tableBorderDxfId="502" totalsRowBorderDxfId="501">
  <autoFilter ref="E23:G33" xr:uid="{6B6A8A53-E809-4CCA-8594-89322C34C92B}"/>
  <tableColumns count="3">
    <tableColumn id="1" xr3:uid="{D999F32F-A869-4C9B-9929-B15C1B4A8649}" name="Restante" dataDxfId="500"/>
    <tableColumn id="2" xr3:uid="{8435D652-7552-40D9-AD54-D6FE97001DBF}" name="Valores" dataDxfId="499" dataCellStyle="Moeda"/>
    <tableColumn id="3" xr3:uid="{7FDE2133-9607-4655-A2D0-610391FC74AA}" name="Acumulado" dataDxfId="498">
      <calculatedColumnFormula>SUM(Tabela6151661218[[#This Row],[Valores]]+Tabela615166[[#This Row],[Valores]])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41A0FC4-CF6C-47A1-9CCE-F1F9C2F8E47A}" name="Tabela17111419" displayName="Tabela17111419" ref="P2:S104" totalsRowShown="0" headerRowDxfId="497" dataDxfId="495" headerRowBorderDxfId="496" tableBorderDxfId="494">
  <autoFilter ref="P2:S104" xr:uid="{85CD1F04-9EB1-4DFC-AC3B-28D38F368FDB}"/>
  <sortState xmlns:xlrd2="http://schemas.microsoft.com/office/spreadsheetml/2017/richdata2" ref="P3:S104">
    <sortCondition ref="R2:R104"/>
  </sortState>
  <tableColumns count="4">
    <tableColumn id="1" xr3:uid="{7DE112D3-55E6-439F-BF1A-E80E4D357070}" name="Gastos atuais detalhados" dataDxfId="493"/>
    <tableColumn id="2" xr3:uid="{0143A478-39D9-4852-A7AD-2F4BC0CA679D}" name="Valores" dataDxfId="492"/>
    <tableColumn id="3" xr3:uid="{C7260F45-AEEC-4240-9E16-96641F7092B5}" name="Data" dataDxfId="491"/>
    <tableColumn id="4" xr3:uid="{981BA894-8BE7-40E0-8512-1FC028F6BBA1}" name="Motivo" dataDxfId="490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921CEC5-90E4-436D-9AD2-DCE13D4F6FE3}" name="Tabela21520" displayName="Tabela21520" ref="I21:J30" totalsRowShown="0" headerRowDxfId="489" headerRowBorderDxfId="488" tableBorderDxfId="487" totalsRowBorderDxfId="486">
  <autoFilter ref="I21:J30" xr:uid="{D27CFBC2-992A-47A0-9E0D-9E7B89C8AA5E}"/>
  <tableColumns count="2">
    <tableColumn id="1" xr3:uid="{E1522D63-E2B2-4613-8363-77E6BA02AFE3}" name="Gastos atuais" dataDxfId="485"/>
    <tableColumn id="2" xr3:uid="{74399DA9-1FBA-4FF6-9BC5-BD700F9630F1}" name="Valores" dataDxfId="484" dataCellStyle="Moeda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103413D-2C57-4FBE-A9C8-E10B09A1809A}" name="Tabela1521" displayName="Tabela1521" ref="E2:F13" totalsRowShown="0" headerRowDxfId="483" tableBorderDxfId="482">
  <autoFilter ref="E2:F13" xr:uid="{D5BA2207-72CC-4DD6-8A74-19D71C5DA046}"/>
  <tableColumns count="2">
    <tableColumn id="1" xr3:uid="{0D7607F9-2B8E-46BD-ABB6-F6B93E5017E9}" name="Custos fixos" dataDxfId="481"/>
    <tableColumn id="2" xr3:uid="{0CADCC64-1D83-4582-9E98-41328DA72D58}" name="Valores" dataDxfId="480" dataCellStyle="Moeda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49193A-28EB-4B5D-A23C-3878490A6DE4}" name="Tabela1222" displayName="Tabela1222" ref="I2:K10" totalsRowShown="0" tableBorderDxfId="479">
  <autoFilter ref="I2:K10" xr:uid="{ADE00C3A-777E-403F-990D-76C32B49BC77}"/>
  <tableColumns count="3">
    <tableColumn id="1" xr3:uid="{A9C828E2-8908-47CB-B90F-5A2D5557B36B}" name="Cartão crédito" dataDxfId="478"/>
    <tableColumn id="2" xr3:uid="{9C4EC514-E6D5-4007-8C92-8F23ECFB5CF5}" name="Valores" dataDxfId="477" dataCellStyle="Moeda"/>
    <tableColumn id="3" xr3:uid="{11BF86C9-DC36-42C2-877F-67487F5FE124}" name="Parcelas" dataDxfId="476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0710548-D20B-4FBC-99C7-2546DE46E645}" name="Tabela413949223" displayName="Tabela413949223" ref="M2:N9" totalsRowShown="0" headerRowDxfId="475" dataDxfId="473" headerRowBorderDxfId="474" tableBorderDxfId="472" totalsRowBorderDxfId="471">
  <autoFilter ref="M2:N9" xr:uid="{663D6763-BE15-4F85-9C29-0879C3D450DB}"/>
  <tableColumns count="2">
    <tableColumn id="1" xr3:uid="{23D0DBD2-773B-4C81-82F9-8C4CA442588F}" name="Planos" dataDxfId="470"/>
    <tableColumn id="2" xr3:uid="{49423AD8-D766-4E96-813B-BC10ADE69918}" name="Valores" dataDxfId="469" dataCellStyle="Moeda"/>
  </tableColumns>
  <tableStyleInfo name="TableStyleMedium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B998992-2483-421B-B518-1E485287A33C}" name="Tabela51410510824" displayName="Tabela51410510824" ref="B22:C33" totalsRowCount="1" headerRowDxfId="468" dataDxfId="466" headerRowBorderDxfId="467" tableBorderDxfId="465" totalsRowBorderDxfId="464">
  <autoFilter ref="B22:C32" xr:uid="{08838199-8AA9-4F8E-B846-5AA734C51DA4}"/>
  <tableColumns count="2">
    <tableColumn id="1" xr3:uid="{358278EC-B5A2-4FCB-896D-1F789985E7B9}" name="Distribuição fixa" dataDxfId="463" totalsRowDxfId="462"/>
    <tableColumn id="2" xr3:uid="{EA3A6322-C924-49A9-9B4B-A09CBB7E3993}" name="Valores" dataDxfId="461" totalsRowDxfId="460" dataCellStyle="Moeda" totalsRowCellStyle="Moed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6FAC6AD-E8D3-4E4D-A2A4-49860411E72E}" name="Tabela615166121825" displayName="Tabela615166121825" ref="E23:G33" totalsRowShown="0" headerRowDxfId="459" dataDxfId="457" headerRowBorderDxfId="458" tableBorderDxfId="456" totalsRowBorderDxfId="455">
  <autoFilter ref="E23:G33" xr:uid="{6B6A8A53-E809-4CCA-8594-89322C34C92B}"/>
  <tableColumns count="3">
    <tableColumn id="1" xr3:uid="{9190A0BF-DB53-4729-9DD3-79CB5D3861E2}" name="Restante" dataDxfId="454"/>
    <tableColumn id="2" xr3:uid="{1E7B651A-C504-4C9F-A5C6-0145757E913C}" name="Valores" dataDxfId="453" dataCellStyle="Moeda"/>
    <tableColumn id="3" xr3:uid="{71109401-952B-4AF1-A452-BCCC40D3CE9D}" name="Acumulado" dataDxfId="452">
      <calculatedColumnFormula>SUM(Tabela615166121825[[#This Row],[Valores]]+Tabela615166[[#This Row],[Valores]])</calculatedColumnFormula>
    </tableColumn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E9F7736-9D39-4BAE-AFCC-D1E77E65DCA4}" name="Tabela1711141926" displayName="Tabela1711141926" ref="P2:S107" totalsRowShown="0" headerRowDxfId="451" dataDxfId="449" headerRowBorderDxfId="450" tableBorderDxfId="448">
  <autoFilter ref="P2:S107" xr:uid="{85CD1F04-9EB1-4DFC-AC3B-28D38F368FDB}"/>
  <sortState xmlns:xlrd2="http://schemas.microsoft.com/office/spreadsheetml/2017/richdata2" ref="P3:S106">
    <sortCondition ref="R2:R107"/>
  </sortState>
  <tableColumns count="4">
    <tableColumn id="1" xr3:uid="{9A993D79-D267-4A18-92AB-4D064CA060FA}" name="Gastos atuais detalhados" dataDxfId="447"/>
    <tableColumn id="2" xr3:uid="{C564F043-C974-4D5C-A4A9-F78DD6A45F19}" name="Valores" dataDxfId="446"/>
    <tableColumn id="3" xr3:uid="{6838312C-0538-4C40-9D5A-401344B2A0BF}" name="Data" dataDxfId="445"/>
    <tableColumn id="4" xr3:uid="{51E53D02-F88B-4005-A52C-50F35CE0D7E2}" name="Motivo" dataDxfId="444"/>
  </tableColumns>
  <tableStyleInfo name="TableStyleLight1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66F5ECC-EE66-4F54-BCD4-CFB5504E8A2D}" name="Tabela2152027" displayName="Tabela2152027" ref="I21:J30" totalsRowShown="0" headerRowDxfId="443" headerRowBorderDxfId="442" tableBorderDxfId="441" totalsRowBorderDxfId="440">
  <autoFilter ref="I21:J30" xr:uid="{D27CFBC2-992A-47A0-9E0D-9E7B89C8AA5E}"/>
  <tableColumns count="2">
    <tableColumn id="1" xr3:uid="{9BD61E70-F81A-4C59-BF8E-28068762B1D3}" name="Gastos atuais" dataDxfId="439"/>
    <tableColumn id="2" xr3:uid="{86F6CE25-E01F-4EFD-9C10-6DAA296A23AC}" name="Valores" dataDxfId="438" dataCellStyle="Moeda"/>
  </tableColumns>
  <tableStyleInfo name="TableStyleLight1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8B1A756-23F8-4A7D-A626-B658448F32C8}" name="Tabela152128" displayName="Tabela152128" ref="E2:F13" totalsRowShown="0" headerRowDxfId="437" tableBorderDxfId="436">
  <autoFilter ref="E2:F13" xr:uid="{D5BA2207-72CC-4DD6-8A74-19D71C5DA046}"/>
  <tableColumns count="2">
    <tableColumn id="1" xr3:uid="{2BD93AD5-A94B-4479-9611-7CA2DF5964D5}" name="Custos fixos" dataDxfId="435"/>
    <tableColumn id="2" xr3:uid="{98867A7D-85A4-4A29-A2E5-7615558D86DC}" name="Valores" dataDxfId="434" dataCellStyle="Moeda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2F6616F-C4F6-43C1-8A96-D92995C8356F}" name="Tabela122229" displayName="Tabela122229" ref="I2:K10" totalsRowShown="0" tableBorderDxfId="433">
  <autoFilter ref="I2:K10" xr:uid="{ADE00C3A-777E-403F-990D-76C32B49BC77}"/>
  <tableColumns count="3">
    <tableColumn id="1" xr3:uid="{BDBDD86D-8808-43F0-AA20-31837E1F97EE}" name="Cartão crédito" dataDxfId="432"/>
    <tableColumn id="2" xr3:uid="{EAE5886A-752A-4A51-86FF-48A2C58C1A45}" name="Valores" dataDxfId="431" dataCellStyle="Moeda"/>
    <tableColumn id="3" xr3:uid="{1F2ED750-E446-401C-9FBF-720DCB4533C3}" name="Parcelas" dataDxfId="430"/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3C5200E-20D5-4581-96D3-DBCFD7497B06}" name="Tabela41394922330" displayName="Tabela41394922330" ref="M2:N9" totalsRowShown="0" headerRowDxfId="429" dataDxfId="427" headerRowBorderDxfId="428" tableBorderDxfId="426" totalsRowBorderDxfId="425">
  <autoFilter ref="M2:N9" xr:uid="{663D6763-BE15-4F85-9C29-0879C3D450DB}"/>
  <tableColumns count="2">
    <tableColumn id="1" xr3:uid="{8E2A2EB7-90C8-44C9-8AC2-A8920C38FC59}" name="Planos" dataDxfId="424"/>
    <tableColumn id="2" xr3:uid="{35D20DE5-0C21-4B62-ABE4-4F754967E570}" name="Valores" dataDxfId="423" dataCellStyle="Moeda"/>
  </tableColumns>
  <tableStyleInfo name="TableStyleMedium1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02DEEB3-0810-4479-A4B0-CCD4375F76BF}" name="Tabela5141051082431" displayName="Tabela5141051082431" ref="B22:C33" totalsRowCount="1" headerRowDxfId="422" dataDxfId="420" headerRowBorderDxfId="421" tableBorderDxfId="419" totalsRowBorderDxfId="418">
  <autoFilter ref="B22:C32" xr:uid="{08838199-8AA9-4F8E-B846-5AA734C51DA4}"/>
  <tableColumns count="2">
    <tableColumn id="1" xr3:uid="{BFD5DC21-0184-4211-B43E-1DEE3E7B8B86}" name="Distribuição fixa" dataDxfId="417" totalsRowDxfId="416"/>
    <tableColumn id="2" xr3:uid="{A84AB900-E0D8-44AB-AC41-957A20A55530}" name="Valores" dataDxfId="415" totalsRowDxfId="414" dataCellStyle="Moeda" totalsRowCellStyle="Moeda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0481BB7-A212-46C3-9132-26DF97FE50DA}" name="Tabela61516612182532" displayName="Tabela61516612182532" ref="E23:G33" totalsRowShown="0" headerRowDxfId="413" dataDxfId="411" headerRowBorderDxfId="412" tableBorderDxfId="410" totalsRowBorderDxfId="409">
  <autoFilter ref="E23:G33" xr:uid="{6B6A8A53-E809-4CCA-8594-89322C34C92B}"/>
  <tableColumns count="3">
    <tableColumn id="1" xr3:uid="{3ED5832D-D79E-4C28-BF58-BC0ECEAE7F14}" name="Restante" dataDxfId="408"/>
    <tableColumn id="2" xr3:uid="{F0FBCCC4-6E45-4D96-AF19-0FA014F23A32}" name="Valores" dataDxfId="407" dataCellStyle="Moeda"/>
    <tableColumn id="3" xr3:uid="{6B371CA3-C041-4CB6-9FFA-B3F694C40174}" name="Acumulado" dataDxfId="406">
      <calculatedColumnFormula>SUM(Tabela61516612182532[[#This Row],[Valores]]+Tabela6151661218[[#This Row],[Acumulado]])</calculatedColumnFormula>
    </tableColumn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54D87D4-B881-4362-9711-D438BCF339D8}" name="Tabela171114192633" displayName="Tabela171114192633" ref="P2:S154" totalsRowShown="0" headerRowDxfId="405" dataDxfId="403" headerRowBorderDxfId="404" tableBorderDxfId="402" totalsRowBorderDxfId="401">
  <autoFilter ref="P2:S154" xr:uid="{85CD1F04-9EB1-4DFC-AC3B-28D38F368FDB}"/>
  <sortState xmlns:xlrd2="http://schemas.microsoft.com/office/spreadsheetml/2017/richdata2" ref="P3:S104">
    <sortCondition ref="R2:R104"/>
  </sortState>
  <tableColumns count="4">
    <tableColumn id="1" xr3:uid="{6CDB1C53-1881-460B-ADA2-8AB339B6CA6E}" name="Gastos atuais detalhados" dataDxfId="400"/>
    <tableColumn id="2" xr3:uid="{BDAA73AE-1C6A-45E9-B48D-9B400A127E2D}" name="Valores" dataDxfId="399"/>
    <tableColumn id="3" xr3:uid="{78B20DCE-4B0D-44DC-AFAC-C91805D69617}" name="Data" dataDxfId="398"/>
    <tableColumn id="4" xr3:uid="{D56C60EF-7C25-43AA-9F12-4D90A70B77E6}" name="Motivo" dataDxfId="397"/>
  </tableColumns>
  <tableStyleInfo name="TableStyleLight1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8FC0A1F-45F8-499B-8FF6-7B43C44F2031}" name="Tabela215202734" displayName="Tabela215202734" ref="I21:J30" totalsRowShown="0" headerRowDxfId="396" headerRowBorderDxfId="395" tableBorderDxfId="394" totalsRowBorderDxfId="393">
  <autoFilter ref="I21:J30" xr:uid="{D27CFBC2-992A-47A0-9E0D-9E7B89C8AA5E}"/>
  <tableColumns count="2">
    <tableColumn id="1" xr3:uid="{F31D09CE-BC5E-4D80-B9E9-EB54267B4E4E}" name="Gastos atuais" dataDxfId="392"/>
    <tableColumn id="2" xr3:uid="{9BF9E1A6-E29E-427A-BA6C-097062D5050A}" name="Valores" dataDxfId="391" dataCellStyle="Moeda"/>
  </tableColumns>
  <tableStyleInfo name="TableStyleLight1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930C6DB-A590-49F6-BC23-582B201E735D}" name="Tabela15212835" displayName="Tabela15212835" ref="E2:F13" totalsRowShown="0" headerRowDxfId="390" tableBorderDxfId="389">
  <autoFilter ref="E2:F13" xr:uid="{D5BA2207-72CC-4DD6-8A74-19D71C5DA046}"/>
  <tableColumns count="2">
    <tableColumn id="1" xr3:uid="{C5E61DF3-4482-4BA6-BD6B-B7C726942507}" name="Custos fixos" dataDxfId="388"/>
    <tableColumn id="2" xr3:uid="{479D55C2-1BEA-406E-AF94-B020626711CB}" name="Valores" dataDxfId="387" dataCellStyle="Moeda"/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7188AC5-9DCF-4952-A94D-1766016D276A}" name="Tabela12222936" displayName="Tabela12222936" ref="I2:K10" totalsRowShown="0" tableBorderDxfId="386">
  <autoFilter ref="I2:K10" xr:uid="{ADE00C3A-777E-403F-990D-76C32B49BC77}"/>
  <tableColumns count="3">
    <tableColumn id="1" xr3:uid="{843C5A80-E91D-4411-8829-F8CE2B9B7532}" name="Cartão crédito" dataDxfId="385"/>
    <tableColumn id="2" xr3:uid="{42E67A98-236D-45E6-B0E0-1AE00F4A6EDE}" name="Valores" dataDxfId="384" dataCellStyle="Moeda"/>
    <tableColumn id="3" xr3:uid="{BDBB4483-1FBF-4D75-8ADA-881B490547B9}" name="Parcelas" dataDxfId="383"/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EBDFE5F-2F0B-4104-AA96-14DF6CE68498}" name="Tabela4139492233037" displayName="Tabela4139492233037" ref="M2:N9" totalsRowShown="0" headerRowDxfId="382" dataDxfId="380" headerRowBorderDxfId="381" tableBorderDxfId="379" totalsRowBorderDxfId="378">
  <autoFilter ref="M2:N9" xr:uid="{663D6763-BE15-4F85-9C29-0879C3D450DB}"/>
  <tableColumns count="2">
    <tableColumn id="1" xr3:uid="{C6C320DA-30F9-470D-AA77-EA866DEF6390}" name="Planos" dataDxfId="377"/>
    <tableColumn id="2" xr3:uid="{74B0634F-AB83-477B-93F3-6D653DCF3549}" name="Valores" dataDxfId="376" dataCellStyle="Moeda"/>
  </tableColumns>
  <tableStyleInfo name="TableStyleMedium1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354B831-E4AA-4B18-B2C9-E5BE39B80E8D}" name="Tabela514105108243138" displayName="Tabela514105108243138" ref="B22:C33" totalsRowCount="1" headerRowDxfId="375" dataDxfId="373" headerRowBorderDxfId="374" tableBorderDxfId="372" totalsRowBorderDxfId="371">
  <autoFilter ref="B22:C32" xr:uid="{08838199-8AA9-4F8E-B846-5AA734C51DA4}"/>
  <tableColumns count="2">
    <tableColumn id="1" xr3:uid="{10C6B36C-ADB7-4033-9CF2-34199381D49A}" name="Distribuição fixa" dataDxfId="370" totalsRowDxfId="369"/>
    <tableColumn id="2" xr3:uid="{22B8534D-5FAD-4B1E-9148-1AE2ACBBD09E}" name="Valores" dataDxfId="368" totalsRowDxfId="367" dataCellStyle="Moeda" totalsRowCellStyle="Moeda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567B0A7-B3BE-48BF-8089-6FC24149704B}" name="Tabela6151661218253239" displayName="Tabela6151661218253239" ref="E23:G33" totalsRowShown="0" headerRowDxfId="366" dataDxfId="364" headerRowBorderDxfId="365" tableBorderDxfId="363" totalsRowBorderDxfId="362">
  <autoFilter ref="E23:G33" xr:uid="{6B6A8A53-E809-4CCA-8594-89322C34C92B}"/>
  <tableColumns count="3">
    <tableColumn id="1" xr3:uid="{5F79EA52-6AFC-4D87-8D5D-B010FFE74FCD}" name="Restante" dataDxfId="361"/>
    <tableColumn id="2" xr3:uid="{083FE978-1696-4735-955D-BEE34CA9FE2B}" name="Valores" dataDxfId="360" dataCellStyle="Moeda"/>
    <tableColumn id="3" xr3:uid="{348FB0A2-3F66-45BB-A57B-0932DC6D369E}" name="Acumulado" dataDxfId="359">
      <calculatedColumnFormula>SUM(Tabela6151661218253239[[#This Row],[Valores]]+Tabela6151661218[[#This Row],[Acumulado]])</calculatedColumnFormula>
    </tableColumn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AEF5754-4E9B-4F90-9AB0-F763302B4A2A}" name="Tabela17111419263340" displayName="Tabela17111419263340" ref="P2:T150" totalsRowShown="0" headerRowDxfId="358" dataDxfId="356" headerRowBorderDxfId="357" tableBorderDxfId="355" totalsRowBorderDxfId="354">
  <autoFilter ref="P2:T150" xr:uid="{85CD1F04-9EB1-4DFC-AC3B-28D38F368FDB}"/>
  <sortState xmlns:xlrd2="http://schemas.microsoft.com/office/spreadsheetml/2017/richdata2" ref="P4:T150">
    <sortCondition ref="R2:R150"/>
  </sortState>
  <tableColumns count="5">
    <tableColumn id="1" xr3:uid="{A6B37D8D-FB0C-444F-9375-73B052769509}" name="Gastos atuais detalhados" dataDxfId="353"/>
    <tableColumn id="2" xr3:uid="{7C006843-A5EC-40E5-972D-11BC9816009E}" name="Valores" dataDxfId="352"/>
    <tableColumn id="3" xr3:uid="{3FE06C09-BD3D-4BF8-BA17-CB96D592AEB4}" name="Data" dataDxfId="351"/>
    <tableColumn id="4" xr3:uid="{AAA5581D-50B8-4573-9AA6-6811C9EB85BB}" name="Motivo" dataDxfId="350"/>
    <tableColumn id="5" xr3:uid="{3E9DF490-C9E3-4B00-9F65-C395F1385601}" name="Método" dataDxfId="349"/>
  </tableColumns>
  <tableStyleInfo name="TableStyleLight1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C8729A8-8759-40CC-B728-B8FBCF760512}" name="Tabela21520273441" displayName="Tabela21520273441" ref="I21:J30" totalsRowShown="0" headerRowDxfId="348" headerRowBorderDxfId="347" tableBorderDxfId="346" totalsRowBorderDxfId="345">
  <autoFilter ref="I21:J30" xr:uid="{D27CFBC2-992A-47A0-9E0D-9E7B89C8AA5E}"/>
  <tableColumns count="2">
    <tableColumn id="1" xr3:uid="{26C5D85C-21C7-4437-8D51-C62320343476}" name="Gastos atuais" dataDxfId="344"/>
    <tableColumn id="2" xr3:uid="{A8E6D8D4-FBA4-4649-A25C-E118AF5A634C}" name="Valores" dataDxfId="343" dataCellStyle="Moeda"/>
  </tableColumns>
  <tableStyleInfo name="TableStyleLight1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109268E-5E9C-4AB0-8A25-CB93EB76EF8C}" name="Tabela1521283542" displayName="Tabela1521283542" ref="E2:F13" totalsRowShown="0" headerRowDxfId="342" tableBorderDxfId="341">
  <autoFilter ref="E2:F13" xr:uid="{D5BA2207-72CC-4DD6-8A74-19D71C5DA046}"/>
  <tableColumns count="2">
    <tableColumn id="1" xr3:uid="{FD5E8083-C8DC-49F9-AF6E-66AA67C5C7AB}" name="Custos fixos" dataDxfId="340"/>
    <tableColumn id="2" xr3:uid="{773957A8-F250-4256-9CCC-410D23E55BB1}" name="Valores" dataDxfId="339" dataCellStyle="Moeda"/>
  </tableColumns>
  <tableStyleInfo name="TableStyleMedium3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C3BD282-8656-493C-8791-EC60DB9D3A52}" name="Tabela1222293643" displayName="Tabela1222293643" ref="I2:K10" totalsRowShown="0" tableBorderDxfId="338">
  <autoFilter ref="I2:K10" xr:uid="{ADE00C3A-777E-403F-990D-76C32B49BC77}"/>
  <tableColumns count="3">
    <tableColumn id="1" xr3:uid="{3880A3F6-B7EF-4B59-A146-21B8B6EB6AC8}" name="Cartão crédito" dataDxfId="337"/>
    <tableColumn id="2" xr3:uid="{A0F7A587-E19A-449B-9A53-264FD42EE73D}" name="Valores" dataDxfId="336" dataCellStyle="Moeda"/>
    <tableColumn id="3" xr3:uid="{D717EFCC-1E72-446F-81DD-5BA6A36BF55D}" name="Parcelas" dataDxfId="335"/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A3D32A1-985B-49B7-9BAC-F9E4345FC0E1}" name="Tabela41394922330374451" displayName="Tabela41394922330374451" ref="M2:N9" totalsRowShown="0" headerRowDxfId="334" dataDxfId="332" headerRowBorderDxfId="333" tableBorderDxfId="331" totalsRowBorderDxfId="330">
  <autoFilter ref="M2:N9" xr:uid="{663D6763-BE15-4F85-9C29-0879C3D450DB}"/>
  <tableColumns count="2">
    <tableColumn id="1" xr3:uid="{F3703F41-BED6-466B-B297-79913824B757}" name="Planos" dataDxfId="329"/>
    <tableColumn id="2" xr3:uid="{34CABCD3-2241-4F8D-B4A6-4A0AAE2DD678}" name="Valores" dataDxfId="328" dataCellStyle="Moeda"/>
  </tableColumns>
  <tableStyleInfo name="TableStyleMedium1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DD261E8-C8A0-4C6E-A1C8-A21B773B8978}" name="Tabela5141051082431384552" displayName="Tabela5141051082431384552" ref="B22:C33" totalsRowCount="1" headerRowDxfId="327" dataDxfId="325" headerRowBorderDxfId="326" tableBorderDxfId="324" totalsRowBorderDxfId="323">
  <autoFilter ref="B22:C32" xr:uid="{08838199-8AA9-4F8E-B846-5AA734C51DA4}"/>
  <tableColumns count="2">
    <tableColumn id="1" xr3:uid="{5CB88D00-6DAF-4617-8B1D-34EB016839E8}" name="Distribuição fixa" dataDxfId="322" totalsRowDxfId="321"/>
    <tableColumn id="2" xr3:uid="{4F09F2EC-5343-4F1D-802F-F18935E6A2F2}" name="Valores" dataDxfId="320" totalsRowDxfId="319" dataCellStyle="Moeda" totalsRowCellStyle="Moeda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EA67B8E-6590-4AA4-A0FC-CD5084BD5BC5}" name="Tabela61516612182532394653" displayName="Tabela61516612182532394653" ref="E23:G33" totalsRowShown="0" headerRowDxfId="318" dataDxfId="316" headerRowBorderDxfId="317" tableBorderDxfId="315" totalsRowBorderDxfId="314">
  <autoFilter ref="E23:G33" xr:uid="{6B6A8A53-E809-4CCA-8594-89322C34C92B}"/>
  <tableColumns count="3">
    <tableColumn id="1" xr3:uid="{69EE27BE-13C2-4C0D-B2A3-47170E76F629}" name="Restante" dataDxfId="313"/>
    <tableColumn id="2" xr3:uid="{F1FC1C10-52DD-46EC-9F0F-8DFEAA024EEF}" name="Valores" dataDxfId="312" dataCellStyle="Moeda"/>
    <tableColumn id="3" xr3:uid="{57A2B109-5930-4CE8-B54F-EA906FE94F18}" name="Acumulado" dataDxfId="311">
      <calculatedColumnFormula>SUM(Tabela61516612182532394653[[#This Row],[Valores]]+Tabela6151661218[[#This Row],[Acumulado]])</calculatedColumnFormula>
    </tableColumn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5685854-EAC5-482D-AF7B-C521AE254D42}" name="Tabela171114192633404754" displayName="Tabela171114192633404754" ref="P2:T147" totalsRowShown="0" headerRowDxfId="310" dataDxfId="308" headerRowBorderDxfId="309" tableBorderDxfId="307" totalsRowBorderDxfId="306">
  <autoFilter ref="P2:T147" xr:uid="{85CD1F04-9EB1-4DFC-AC3B-28D38F368FDB}"/>
  <sortState xmlns:xlrd2="http://schemas.microsoft.com/office/spreadsheetml/2017/richdata2" ref="P3:T147">
    <sortCondition ref="R2:R147"/>
  </sortState>
  <tableColumns count="5">
    <tableColumn id="1" xr3:uid="{2137B3DA-AC4A-45E7-BA80-C06BC1113D07}" name="Gastos atuais detalhados" dataDxfId="305"/>
    <tableColumn id="2" xr3:uid="{DDE715EF-AF4C-4BCB-8A28-25CE97C114D8}" name="Valores" dataDxfId="304"/>
    <tableColumn id="3" xr3:uid="{B02F012A-F27C-40B2-A74A-3CC80B51A6BA}" name="Data" dataDxfId="303"/>
    <tableColumn id="4" xr3:uid="{952046F9-867B-4ECB-8890-3A920FBBAC32}" name="Motivo" dataDxfId="302"/>
    <tableColumn id="5" xr3:uid="{F1F4CA2D-114B-4081-9576-98DEEADB9F7E}" name="Método" dataDxfId="301"/>
  </tableColumns>
  <tableStyleInfo name="TableStyleLight1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7348F09-3305-4EC4-9CF5-FDD857132F83}" name="Tabela215202734414855" displayName="Tabela215202734414855" ref="I21:J30" totalsRowShown="0" headerRowDxfId="300" headerRowBorderDxfId="299" tableBorderDxfId="298" totalsRowBorderDxfId="297">
  <autoFilter ref="I21:J30" xr:uid="{D27CFBC2-992A-47A0-9E0D-9E7B89C8AA5E}"/>
  <tableColumns count="2">
    <tableColumn id="1" xr3:uid="{15628FFC-AE2D-4D31-BA2A-F80E08E678C4}" name="Gastos atuais" dataDxfId="296"/>
    <tableColumn id="2" xr3:uid="{029396C8-07C3-425B-8840-0C936E22E2F3}" name="Valores" dataDxfId="295" dataCellStyle="Moeda"/>
  </tableColumns>
  <tableStyleInfo name="TableStyleLight1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BED10D5-57CA-4088-A64B-A744933256B3}" name="Tabela12222936435057" displayName="Tabela12222936435057" ref="I2:K10" totalsRowShown="0" tableBorderDxfId="294">
  <autoFilter ref="I2:K10" xr:uid="{ADE00C3A-777E-403F-990D-76C32B49BC77}"/>
  <tableColumns count="3">
    <tableColumn id="1" xr3:uid="{A4A6BE38-97D3-49DA-A26A-AB95B51AE396}" name="Cartão crédito" dataDxfId="293"/>
    <tableColumn id="2" xr3:uid="{5036467B-1D26-4D2D-B22D-0799D67D214C}" name="Valores" dataDxfId="292" dataCellStyle="Moeda"/>
    <tableColumn id="3" xr3:uid="{6702415B-CED4-4ACA-8541-DF8CEBD5134D}" name="Parcelas" dataDxfId="291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E62199E-1A36-4B05-85E7-B097153C8EF6}" name="Tabela57" displayName="Tabela57" ref="E2:F9" totalsRowShown="0" headerRowDxfId="290" tableBorderDxfId="289">
  <autoFilter ref="E2:F9" xr:uid="{2E62199E-1A36-4B05-85E7-B097153C8EF6}"/>
  <tableColumns count="2">
    <tableColumn id="1" xr3:uid="{CD14C9B8-0A0D-47F7-8690-1DEB072406A2}" name="Custos fixos" dataDxfId="288"/>
    <tableColumn id="2" xr3:uid="{8A7087AE-81B6-4457-90A8-842385F5FB4C}" name="Valores" dataDxfId="287" dataCellStyle="Moeda"/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17457C9-5B4F-4B1A-8308-A60CDB42DD2C}" name="Tabela4139492233037445144" displayName="Tabela4139492233037445144" ref="M2:N9" totalsRowShown="0" headerRowDxfId="286" dataDxfId="284" headerRowBorderDxfId="285" tableBorderDxfId="283" totalsRowBorderDxfId="282">
  <autoFilter ref="M2:N9" xr:uid="{663D6763-BE15-4F85-9C29-0879C3D450DB}"/>
  <tableColumns count="2">
    <tableColumn id="1" xr3:uid="{CBDD9ED9-89CC-455D-BADD-F96D6B32E5DE}" name="Planos" dataDxfId="281"/>
    <tableColumn id="2" xr3:uid="{392F5BF5-6462-43F7-AB65-9A77B971076E}" name="Valores" dataDxfId="280" dataCellStyle="Moeda"/>
  </tableColumns>
  <tableStyleInfo name="TableStyleMedium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D92C647-3C67-4C9F-AEA6-22F79CDE0C75}" name="Tabela514105108243138455245" displayName="Tabela514105108243138455245" ref="B22:C33" totalsRowCount="1" headerRowDxfId="279" dataDxfId="277" headerRowBorderDxfId="278" tableBorderDxfId="276" totalsRowBorderDxfId="275">
  <autoFilter ref="B22:C32" xr:uid="{08838199-8AA9-4F8E-B846-5AA734C51DA4}"/>
  <tableColumns count="2">
    <tableColumn id="1" xr3:uid="{20BBA48C-4599-435A-9719-9A4630893883}" name="Distribuição fixa" dataDxfId="274" totalsRowDxfId="273"/>
    <tableColumn id="2" xr3:uid="{1009C60C-DCF2-4396-A64A-7799590C8E08}" name="Valores" dataDxfId="272" totalsRowDxfId="271" dataCellStyle="Moeda" totalsRowCellStyle="Moed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8175718-CD92-493C-9746-04EFDE8FCD1E}" name="Tabela6151661218253239465346" displayName="Tabela6151661218253239465346" ref="E23:G33" totalsRowShown="0" headerRowDxfId="270" dataDxfId="268" headerRowBorderDxfId="269" tableBorderDxfId="267" totalsRowBorderDxfId="266">
  <autoFilter ref="E23:G33" xr:uid="{6B6A8A53-E809-4CCA-8594-89322C34C92B}"/>
  <tableColumns count="3">
    <tableColumn id="1" xr3:uid="{BA75BD74-67CF-40F9-9856-A4B2EADE8774}" name="Restante" dataDxfId="265"/>
    <tableColumn id="2" xr3:uid="{0A7906B4-F368-4E84-9CEC-6ED9A124154F}" name="Valores" dataDxfId="264" dataCellStyle="Moeda"/>
    <tableColumn id="3" xr3:uid="{24BA355F-EC64-4EC2-9173-D817429DBAA5}" name="Acumulado" dataDxfId="263">
      <calculatedColumnFormula>SUM(Tabela6151661218253239465346[[#This Row],[Valores]]+Tabela6151661218[[#This Row],[Acumulado]])</calculatedColumnFormula>
    </tableColumn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6A635F7-B87A-42C7-B73F-CA86C88E3FE1}" name="Tabela17111419263340475447" displayName="Tabela17111419263340475447" ref="P2:T147" totalsRowShown="0" headerRowDxfId="262" dataDxfId="260" headerRowBorderDxfId="261" tableBorderDxfId="259" totalsRowBorderDxfId="258">
  <autoFilter ref="P2:T147" xr:uid="{85CD1F04-9EB1-4DFC-AC3B-28D38F368FDB}"/>
  <sortState xmlns:xlrd2="http://schemas.microsoft.com/office/spreadsheetml/2017/richdata2" ref="P3:T147">
    <sortCondition ref="R2:R147"/>
  </sortState>
  <tableColumns count="5">
    <tableColumn id="1" xr3:uid="{C5FA9BC0-57EB-49AE-9E3F-BA3C67B2AA41}" name="Gastos atuais detalhados" dataDxfId="257"/>
    <tableColumn id="2" xr3:uid="{7DE93D30-753A-4552-A388-F96078F31F60}" name="Valores" dataDxfId="256"/>
    <tableColumn id="3" xr3:uid="{DADA3A71-F01B-4CCA-8696-48D3E674409B}" name="Data" dataDxfId="255"/>
    <tableColumn id="4" xr3:uid="{6170440D-7D1F-4C3C-83F4-C39C1C0A9F43}" name="Motivo" dataDxfId="254"/>
    <tableColumn id="5" xr3:uid="{3D76AE05-8F0A-43C3-BD6D-9F92970265F0}" name="Método" dataDxfId="253"/>
  </tableColumns>
  <tableStyleInfo name="TableStyleLight1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8DCB6D2-8989-43CE-9C77-A678E71D9E1D}" name="Tabela21520273441485548" displayName="Tabela21520273441485548" ref="I21:J30" totalsRowShown="0" headerRowDxfId="252" headerRowBorderDxfId="251" tableBorderDxfId="250" totalsRowBorderDxfId="249">
  <autoFilter ref="I21:J30" xr:uid="{D27CFBC2-992A-47A0-9E0D-9E7B89C8AA5E}"/>
  <tableColumns count="2">
    <tableColumn id="1" xr3:uid="{D4FDCA68-7074-4256-B920-7E7CCE127908}" name="Gastos atuais" dataDxfId="248"/>
    <tableColumn id="2" xr3:uid="{C55562D6-CC80-4F32-93F7-5E54B3BC8955}" name="Valores" dataDxfId="247" dataCellStyle="Moeda"/>
  </tableColumns>
  <tableStyleInfo name="TableStyleLight1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D0FD58A-BB5B-446D-A84B-05AA463B9991}" name="Tabela1222293643505749" displayName="Tabela1222293643505749" ref="I2:K10" totalsRowShown="0" tableBorderDxfId="246">
  <autoFilter ref="I2:K10" xr:uid="{ADE00C3A-777E-403F-990D-76C32B49BC77}"/>
  <tableColumns count="3">
    <tableColumn id="1" xr3:uid="{5C97ED3D-6A26-4066-AB2A-9155E52A1BDE}" name="Cartão crédito" dataDxfId="245"/>
    <tableColumn id="2" xr3:uid="{9A0F422E-68A5-4394-A3EC-F68CEB8FA406}" name="Valores" dataDxfId="244" dataCellStyle="Moeda"/>
    <tableColumn id="3" xr3:uid="{2D6F8DCF-FC40-481C-86BC-2FC9A7DFE961}" name="Parcelas" dataDxfId="243"/>
  </tableColumns>
  <tableStyleInfo name="TableStyleMedium3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5DFD784-F566-4BD3-9FB0-D7B8CF8178A4}" name="Tabela5750" displayName="Tabela5750" ref="E2:F9" totalsRowShown="0" headerRowDxfId="242" tableBorderDxfId="241">
  <autoFilter ref="E2:F9" xr:uid="{2E62199E-1A36-4B05-85E7-B097153C8EF6}"/>
  <tableColumns count="2">
    <tableColumn id="1" xr3:uid="{64541FBE-BE5B-4B97-9DC9-5F2952B2A679}" name="Custos fixos" dataDxfId="240"/>
    <tableColumn id="2" xr3:uid="{9F7BE38F-161D-4A9F-9E6A-D2EEDA7AF197}" name="Valores" dataDxfId="239" dataCellStyle="Moeda"/>
  </tableColumns>
  <tableStyleInfo name="TableStyleLight10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FB3E8EC-E837-4788-A806-9C67C786D4FE}" name="Tabela413949223303744514456" displayName="Tabela413949223303744514456" ref="M2:N9" totalsRowShown="0" headerRowDxfId="238" dataDxfId="236" headerRowBorderDxfId="237" tableBorderDxfId="235" totalsRowBorderDxfId="234">
  <autoFilter ref="M2:N9" xr:uid="{663D6763-BE15-4F85-9C29-0879C3D450DB}"/>
  <tableColumns count="2">
    <tableColumn id="1" xr3:uid="{A8D13A5D-DECD-435C-B0FA-5C462B37679D}" name="Planos" dataDxfId="233"/>
    <tableColumn id="2" xr3:uid="{8E87EC8D-B782-49BA-8911-6557F772E174}" name="Valores" dataDxfId="232" dataCellStyle="Moeda"/>
  </tableColumns>
  <tableStyleInfo name="TableStyleMedium10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4A31357-C12C-4329-BE36-E11161BF96E7}" name="Tabela51410510824313845524559" displayName="Tabela51410510824313845524559" ref="B22:C33" totalsRowCount="1" headerRowDxfId="231" dataDxfId="229" headerRowBorderDxfId="230" tableBorderDxfId="228" totalsRowBorderDxfId="227">
  <autoFilter ref="B22:C32" xr:uid="{08838199-8AA9-4F8E-B846-5AA734C51DA4}"/>
  <tableColumns count="2">
    <tableColumn id="1" xr3:uid="{A800B5D7-4E0C-4932-AEE4-5B39F294370A}" name="Distribuição fixa" dataDxfId="226" totalsRowDxfId="225"/>
    <tableColumn id="2" xr3:uid="{5CC86601-5C4F-42CF-8C12-078570E58B6A}" name="Valores" dataDxfId="224" totalsRowDxfId="223" dataCellStyle="Moeda" totalsRowCellStyle="Moeda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B49A688-2717-4BF6-A92C-CDE06525597D}" name="Tabela615166121825323946534660" displayName="Tabela615166121825323946534660" ref="E23:G33" totalsRowShown="0" headerRowDxfId="222" dataDxfId="220" headerRowBorderDxfId="221" tableBorderDxfId="219" totalsRowBorderDxfId="218">
  <autoFilter ref="E23:G33" xr:uid="{6B6A8A53-E809-4CCA-8594-89322C34C92B}"/>
  <tableColumns count="3">
    <tableColumn id="1" xr3:uid="{4CA80142-3EAC-4812-A207-BAA446FF510A}" name="Restante" dataDxfId="217"/>
    <tableColumn id="2" xr3:uid="{DD3B0B66-45FF-4A2F-A697-355C3A5780BA}" name="Valores" dataDxfId="216" dataCellStyle="Moeda"/>
    <tableColumn id="3" xr3:uid="{C983DBA6-986F-4BFB-99D0-84CD80FF7A2D}" name="Acumulado" dataDxfId="215">
      <calculatedColumnFormula>SUM(Tabela615166121825323946534660[[#This Row],[Valores]]+Tabela6151661218[[#This Row],[Acumulado]])</calculatedColumnFormula>
    </tableColumn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54649F2-D3F0-488A-BD0D-C5C36422F4C2}" name="Tabela1711141926334047544761" displayName="Tabela1711141926334047544761" ref="P2:U147" totalsRowShown="0" headerRowDxfId="214" dataDxfId="212" headerRowBorderDxfId="213" tableBorderDxfId="211" totalsRowBorderDxfId="210">
  <autoFilter ref="P2:U147" xr:uid="{85CD1F04-9EB1-4DFC-AC3B-28D38F368FDB}"/>
  <sortState xmlns:xlrd2="http://schemas.microsoft.com/office/spreadsheetml/2017/richdata2" ref="P3:T147">
    <sortCondition ref="R2:R147"/>
  </sortState>
  <tableColumns count="6">
    <tableColumn id="1" xr3:uid="{F4D0B56D-C1C0-4AFD-9EC6-52A1D02A4024}" name="Gastos atuais detalhados" dataDxfId="209"/>
    <tableColumn id="2" xr3:uid="{94BD104F-5D54-4717-BD02-F8952F20A041}" name="Valores" dataDxfId="208" dataCellStyle="Moeda"/>
    <tableColumn id="3" xr3:uid="{E80C435A-8997-4830-822D-A0B17DB38E9F}" name="Data" dataDxfId="207"/>
    <tableColumn id="4" xr3:uid="{1D9A911F-0D3E-4106-9C8F-C649EB7F60D3}" name="Motivo" dataDxfId="206"/>
    <tableColumn id="5" xr3:uid="{085AEFB7-DBFE-4CA4-B029-622006813F9F}" name="Método" dataDxfId="205"/>
    <tableColumn id="6" xr3:uid="{FFE54AE4-5C9F-4A16-82B8-9845F38F1838}" name="Coluna1" dataDxfId="204"/>
  </tableColumns>
  <tableStyleInfo name="TableStyleLight1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56FF019-7BC7-410D-B465-68AB137A6E14}" name="Tabela2152027344148554862" displayName="Tabela2152027344148554862" ref="I21:J30" totalsRowShown="0" headerRowDxfId="203" headerRowBorderDxfId="202" tableBorderDxfId="201" totalsRowBorderDxfId="200">
  <autoFilter ref="I21:J30" xr:uid="{D27CFBC2-992A-47A0-9E0D-9E7B89C8AA5E}"/>
  <tableColumns count="2">
    <tableColumn id="1" xr3:uid="{17908445-196A-44D7-8392-7F25C62ED860}" name="Gastos atuais" dataDxfId="199"/>
    <tableColumn id="2" xr3:uid="{A821E11B-E625-49DD-9189-3C419B45F187}" name="Valores" dataDxfId="198" dataCellStyle="Moeda"/>
  </tableColumns>
  <tableStyleInfo name="TableStyleLight1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9DD923DF-C784-4625-9FE6-D3FC482C1C3B}" name="Tabela122229364350574963" displayName="Tabela122229364350574963" ref="I2:K11" totalsRowShown="0" tableBorderDxfId="197">
  <autoFilter ref="I2:K11" xr:uid="{ADE00C3A-777E-403F-990D-76C32B49BC77}"/>
  <tableColumns count="3">
    <tableColumn id="1" xr3:uid="{10E1256E-D403-497D-B444-AD8ADBC0F9A2}" name="Cartão crédito" dataDxfId="196"/>
    <tableColumn id="2" xr3:uid="{D93D45C5-89F8-4F0B-AE41-5A0F78D9FB57}" name="Valores" dataDxfId="195" dataCellStyle="Moeda"/>
    <tableColumn id="3" xr3:uid="{0DCEA2BB-BA95-484E-856F-FDF9855B070F}" name="Parcelas" dataDxfId="194"/>
  </tableColumns>
  <tableStyleInfo name="TableStyleMedium3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B45A4DF0-F956-477B-9821-9E07D2AA71EB}" name="Tabela575064" displayName="Tabela575064" ref="E2:F9" totalsRowShown="0" headerRowDxfId="193" tableBorderDxfId="192">
  <autoFilter ref="E2:F9" xr:uid="{2E62199E-1A36-4B05-85E7-B097153C8EF6}"/>
  <tableColumns count="2">
    <tableColumn id="1" xr3:uid="{8AFED4F3-030D-4B13-B13A-774910A1CB5D}" name="Custos fixos" dataDxfId="191"/>
    <tableColumn id="2" xr3:uid="{0C1DA769-C453-4F1D-B715-E033CB828262}" name="Valores" dataDxfId="190" dataCellStyle="Moeda"/>
  </tableColumns>
  <tableStyleInfo name="TableStyleLight10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AA9D3197-BDF6-4984-B993-F77F03111830}" name="Tabela41394922330374451445665" displayName="Tabela41394922330374451445665" ref="M2:N9" totalsRowShown="0" headerRowDxfId="189" dataDxfId="187" headerRowBorderDxfId="188" tableBorderDxfId="186" totalsRowBorderDxfId="185">
  <autoFilter ref="M2:N9" xr:uid="{663D6763-BE15-4F85-9C29-0879C3D450DB}"/>
  <tableColumns count="2">
    <tableColumn id="1" xr3:uid="{709B4526-42CA-455E-A6C5-F8969ACFD035}" name="Planos" dataDxfId="184"/>
    <tableColumn id="2" xr3:uid="{FEEDD548-CE97-4622-A760-76DD9E9A6A38}" name="Valores" dataDxfId="183" dataCellStyle="Moeda"/>
  </tableColumns>
  <tableStyleInfo name="TableStyleMedium10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BB93BBF-FB55-4A24-B9A0-91354A51D26E}" name="Tabela5141051082431384552455966" displayName="Tabela5141051082431384552455966" ref="B22:C33" totalsRowCount="1" headerRowDxfId="182" dataDxfId="180" totalsRowDxfId="178" headerRowBorderDxfId="181" tableBorderDxfId="179" totalsRowBorderDxfId="177">
  <autoFilter ref="B22:C32" xr:uid="{08838199-8AA9-4F8E-B846-5AA734C51DA4}"/>
  <tableColumns count="2">
    <tableColumn id="1" xr3:uid="{1800F4E1-6A79-4D49-85C6-C8027F8BAD7C}" name="Distribuição fixa" dataDxfId="176" totalsRowDxfId="175"/>
    <tableColumn id="2" xr3:uid="{D602BA12-19EB-40E4-A200-3F637FF8A216}" name="Valores" dataDxfId="174" totalsRowDxfId="173" dataCellStyle="Moeda" totalsRowCellStyle="Moeda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BA0C3A5-96DE-4882-A41A-12FB6F09E68D}" name="Tabela61516612182532394653466067" displayName="Tabela61516612182532394653466067" ref="E23:G33" totalsRowShown="0" headerRowDxfId="172" dataDxfId="170" headerRowBorderDxfId="171" tableBorderDxfId="169" totalsRowBorderDxfId="168">
  <autoFilter ref="E23:G33" xr:uid="{6B6A8A53-E809-4CCA-8594-89322C34C92B}"/>
  <tableColumns count="3">
    <tableColumn id="1" xr3:uid="{8C77C352-34E1-4FF1-B8F7-464F6D504BFB}" name="Restante" dataDxfId="167"/>
    <tableColumn id="2" xr3:uid="{B37039FD-3C58-4469-983B-33CE7288AD46}" name="Valores" dataDxfId="166" dataCellStyle="Moeda"/>
    <tableColumn id="3" xr3:uid="{A3798039-8759-4435-B012-02E6E3034727}" name="Acumulado" dataDxfId="165">
      <calculatedColumnFormula>SUM(Tabela61516612182532394653466067[[#This Row],[Valores]]+Tabela6151661218[[#This Row],[Acumulado]])</calculatedColumnFormula>
    </tableColumn>
  </tableColumns>
  <tableStyleInfo name="TableStyleLight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FA9FA28-A248-4DEE-B03C-CC5BC4965D46}" name="Tabela171114192633404754476168" displayName="Tabela171114192633404754476168" ref="P2:T159" totalsRowShown="0" headerRowDxfId="164" dataDxfId="162" headerRowBorderDxfId="163" tableBorderDxfId="161" totalsRowBorderDxfId="160">
  <autoFilter ref="P2:T159" xr:uid="{85CD1F04-9EB1-4DFC-AC3B-28D38F368FDB}"/>
  <sortState xmlns:xlrd2="http://schemas.microsoft.com/office/spreadsheetml/2017/richdata2" ref="P3:T159">
    <sortCondition ref="R2:R159"/>
  </sortState>
  <tableColumns count="5">
    <tableColumn id="1" xr3:uid="{562FF299-2A68-4EFF-8D4F-A0B0DDD35E7A}" name="Gastos atuais detalhados" dataDxfId="159"/>
    <tableColumn id="2" xr3:uid="{5340E722-1A12-424D-9D94-2F2E3A4CB630}" name="Valores" dataDxfId="158" dataCellStyle="Moeda"/>
    <tableColumn id="3" xr3:uid="{C5CA9879-BC60-41C0-828D-17284117DA77}" name="Data" dataDxfId="157"/>
    <tableColumn id="4" xr3:uid="{58A3336B-B636-406D-AFD0-6039FABD8451}" name="Motivo" dataDxfId="156"/>
    <tableColumn id="5" xr3:uid="{0D71A4CA-4D31-4A1B-A74B-733D6F70A972}" name="Método" dataDxfId="155"/>
  </tableColumns>
  <tableStyleInfo name="TableStyleLight1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4C814232-7490-47B5-B9FA-00A23AD81431}" name="Tabela215202734414855486269" displayName="Tabela215202734414855486269" ref="I21:J30" totalsRowShown="0" headerRowDxfId="154" dataDxfId="152" headerRowBorderDxfId="153" tableBorderDxfId="151" totalsRowBorderDxfId="150">
  <autoFilter ref="I21:J30" xr:uid="{D27CFBC2-992A-47A0-9E0D-9E7B89C8AA5E}"/>
  <tableColumns count="2">
    <tableColumn id="1" xr3:uid="{9F6D20CA-832B-48C9-8CB6-964E006101EA}" name="Gastos atuais" dataDxfId="149"/>
    <tableColumn id="2" xr3:uid="{F2F90E36-ABC7-41DD-920C-C18376B391E9}" name="Valores" dataDxfId="148" dataCellStyle="Moeda"/>
  </tableColumns>
  <tableStyleInfo name="TableStyleLight1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A3E2CB5-68C1-45E6-82A6-F462C8CDFFBD}" name="Tabela12222936435057496370" displayName="Tabela12222936435057496370" ref="I2:K11" totalsRowShown="0" headerRowDxfId="147" dataDxfId="146" tableBorderDxfId="145">
  <autoFilter ref="I2:K11" xr:uid="{ADE00C3A-777E-403F-990D-76C32B49BC77}"/>
  <tableColumns count="3">
    <tableColumn id="1" xr3:uid="{04F4F85C-F7C3-4960-8338-F04953E75814}" name="Cartão crédito" dataDxfId="144"/>
    <tableColumn id="2" xr3:uid="{DD1A9E13-ACED-4EF7-A228-4EE215B37216}" name="Valores" dataDxfId="143" dataCellStyle="Moeda"/>
    <tableColumn id="3" xr3:uid="{825B2057-411A-4E74-8315-398C94A08D07}" name="Parcelas" dataDxfId="142"/>
  </tableColumns>
  <tableStyleInfo name="TableStyleMedium3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E37891E8-7A56-4EA4-BDCA-62416F36401B}" name="Tabela57506471" displayName="Tabela57506471" ref="E2:F9" totalsRowShown="0" headerRowDxfId="141" dataDxfId="140" tableBorderDxfId="139">
  <autoFilter ref="E2:F9" xr:uid="{2E62199E-1A36-4B05-85E7-B097153C8EF6}"/>
  <tableColumns count="2">
    <tableColumn id="1" xr3:uid="{E8A413E7-5470-4B7B-B00D-8EB33ECF8A7B}" name="Custos fixos" dataDxfId="138"/>
    <tableColumn id="2" xr3:uid="{A11F8961-9087-4748-8C06-7DA89A9FFA75}" name="Valores" dataDxfId="137" dataCellStyle="Moed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10" Type="http://schemas.openxmlformats.org/officeDocument/2006/relationships/comments" Target="../comments1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10" Type="http://schemas.openxmlformats.org/officeDocument/2006/relationships/comments" Target="../comments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10" Type="http://schemas.openxmlformats.org/officeDocument/2006/relationships/comments" Target="../comments3.xml"/><Relationship Id="rId4" Type="http://schemas.openxmlformats.org/officeDocument/2006/relationships/table" Target="../tables/table23.xml"/><Relationship Id="rId9" Type="http://schemas.openxmlformats.org/officeDocument/2006/relationships/table" Target="../tables/table2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10" Type="http://schemas.openxmlformats.org/officeDocument/2006/relationships/comments" Target="../comments4.xml"/><Relationship Id="rId4" Type="http://schemas.openxmlformats.org/officeDocument/2006/relationships/table" Target="../tables/table30.xml"/><Relationship Id="rId9" Type="http://schemas.openxmlformats.org/officeDocument/2006/relationships/table" Target="../tables/table3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8.xml"/><Relationship Id="rId3" Type="http://schemas.openxmlformats.org/officeDocument/2006/relationships/table" Target="../tables/table43.xml"/><Relationship Id="rId7" Type="http://schemas.openxmlformats.org/officeDocument/2006/relationships/table" Target="../tables/table47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10" Type="http://schemas.openxmlformats.org/officeDocument/2006/relationships/comments" Target="../comments5.xml"/><Relationship Id="rId4" Type="http://schemas.openxmlformats.org/officeDocument/2006/relationships/table" Target="../tables/table44.xml"/><Relationship Id="rId9" Type="http://schemas.openxmlformats.org/officeDocument/2006/relationships/table" Target="../tables/table49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6.xml"/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3.xml"/><Relationship Id="rId3" Type="http://schemas.openxmlformats.org/officeDocument/2006/relationships/table" Target="../tables/table58.xml"/><Relationship Id="rId7" Type="http://schemas.openxmlformats.org/officeDocument/2006/relationships/table" Target="../tables/table62.xml"/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61.xml"/><Relationship Id="rId5" Type="http://schemas.openxmlformats.org/officeDocument/2006/relationships/table" Target="../tables/table60.xml"/><Relationship Id="rId4" Type="http://schemas.openxmlformats.org/officeDocument/2006/relationships/table" Target="../tables/table5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0.xml"/><Relationship Id="rId3" Type="http://schemas.openxmlformats.org/officeDocument/2006/relationships/table" Target="../tables/table65.xml"/><Relationship Id="rId7" Type="http://schemas.openxmlformats.org/officeDocument/2006/relationships/table" Target="../tables/table69.xml"/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8.xml"/><Relationship Id="rId5" Type="http://schemas.openxmlformats.org/officeDocument/2006/relationships/table" Target="../tables/table67.xml"/><Relationship Id="rId4" Type="http://schemas.openxmlformats.org/officeDocument/2006/relationships/table" Target="../tables/table6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7226-654A-4013-91DC-82CCB1AA934D}">
  <sheetPr>
    <outlinePr summaryBelow="0" summaryRight="0"/>
  </sheetPr>
  <dimension ref="B1:W63"/>
  <sheetViews>
    <sheetView zoomScaleNormal="100" workbookViewId="0">
      <selection activeCell="C14" sqref="C14"/>
    </sheetView>
  </sheetViews>
  <sheetFormatPr defaultColWidth="12.5703125" defaultRowHeight="15.75" customHeight="1" x14ac:dyDescent="0.2"/>
  <cols>
    <col min="1" max="1" width="1.5703125" customWidth="1"/>
    <col min="2" max="2" width="20.42578125" bestFit="1" customWidth="1"/>
    <col min="3" max="3" width="14.28515625" bestFit="1" customWidth="1"/>
    <col min="4" max="4" width="2.42578125" customWidth="1"/>
    <col min="5" max="5" width="22.85546875" bestFit="1" customWidth="1"/>
    <col min="6" max="6" width="17.285156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13.42578125" bestFit="1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2.42578125" bestFit="1" customWidth="1"/>
    <col min="18" max="18" width="9.7109375" bestFit="1" customWidth="1"/>
    <col min="19" max="19" width="26.28515625" bestFit="1" customWidth="1"/>
    <col min="20" max="20" width="13" bestFit="1" customWidth="1"/>
    <col min="21" max="21" width="12.42578125" bestFit="1" customWidth="1"/>
    <col min="22" max="22" width="18.140625" bestFit="1" customWidth="1"/>
    <col min="23" max="23" width="9.7109375" customWidth="1"/>
    <col min="24" max="24" width="13.140625" customWidth="1"/>
    <col min="25" max="25" width="17.28515625" bestFit="1" customWidth="1"/>
    <col min="26" max="26" width="22.28515625" bestFit="1" customWidth="1"/>
    <col min="29" max="29" width="22.28515625" bestFit="1" customWidth="1"/>
  </cols>
  <sheetData>
    <row r="1" spans="2:23" ht="9" customHeight="1" x14ac:dyDescent="0.2">
      <c r="T1" s="51"/>
      <c r="U1" s="51"/>
      <c r="V1" s="51"/>
      <c r="W1" s="51"/>
    </row>
    <row r="2" spans="2:23" ht="15.75" customHeight="1" x14ac:dyDescent="0.2">
      <c r="B2" s="339" t="s">
        <v>0</v>
      </c>
      <c r="C2" s="340"/>
      <c r="D2" s="37"/>
      <c r="E2" s="103" t="s">
        <v>1</v>
      </c>
      <c r="F2" s="104" t="s">
        <v>27</v>
      </c>
      <c r="H2" s="37"/>
      <c r="I2" s="17" t="s">
        <v>26</v>
      </c>
      <c r="J2" s="18" t="s">
        <v>27</v>
      </c>
      <c r="K2" s="19" t="s">
        <v>28</v>
      </c>
      <c r="M2" s="20" t="s">
        <v>24</v>
      </c>
      <c r="N2" s="21" t="s">
        <v>27</v>
      </c>
      <c r="P2" s="34" t="s">
        <v>60</v>
      </c>
      <c r="Q2" s="35" t="s">
        <v>27</v>
      </c>
      <c r="R2" s="35" t="s">
        <v>36</v>
      </c>
      <c r="S2" s="35" t="s">
        <v>37</v>
      </c>
      <c r="T2" s="52"/>
      <c r="U2" s="51"/>
      <c r="V2" s="51"/>
      <c r="W2" s="52"/>
    </row>
    <row r="3" spans="2:23" ht="15.75" customHeight="1" x14ac:dyDescent="0.2">
      <c r="B3" s="1" t="s">
        <v>43</v>
      </c>
      <c r="C3" s="1">
        <v>1650</v>
      </c>
      <c r="D3" s="37"/>
      <c r="E3" s="105" t="s">
        <v>4</v>
      </c>
      <c r="F3" s="106">
        <v>760</v>
      </c>
      <c r="H3" s="37"/>
      <c r="I3" s="22" t="s">
        <v>3</v>
      </c>
      <c r="J3" s="23">
        <v>64.900000000000006</v>
      </c>
      <c r="K3" s="24">
        <v>45931</v>
      </c>
      <c r="M3" s="25" t="s">
        <v>2</v>
      </c>
      <c r="N3" s="26">
        <v>15</v>
      </c>
      <c r="P3" s="6" t="s">
        <v>35</v>
      </c>
      <c r="Q3" s="85">
        <v>44</v>
      </c>
      <c r="R3" s="5">
        <v>45892</v>
      </c>
      <c r="S3" s="8" t="s">
        <v>102</v>
      </c>
      <c r="T3" s="37"/>
      <c r="W3" s="52"/>
    </row>
    <row r="4" spans="2:23" ht="15.75" customHeight="1" x14ac:dyDescent="0.2">
      <c r="B4" s="1" t="s">
        <v>44</v>
      </c>
      <c r="C4" s="1">
        <v>2950.73</v>
      </c>
      <c r="D4" s="37"/>
      <c r="E4" s="105" t="s">
        <v>6</v>
      </c>
      <c r="F4" s="106">
        <v>596</v>
      </c>
      <c r="H4" s="37"/>
      <c r="I4" s="22" t="s">
        <v>5</v>
      </c>
      <c r="J4" s="23">
        <v>147</v>
      </c>
      <c r="K4" s="24">
        <v>45994</v>
      </c>
      <c r="M4" s="25" t="s">
        <v>3</v>
      </c>
      <c r="N4" s="26">
        <v>19.899999999999999</v>
      </c>
      <c r="P4" s="6" t="s">
        <v>35</v>
      </c>
      <c r="Q4" s="85">
        <v>30</v>
      </c>
      <c r="R4" s="5">
        <v>45882</v>
      </c>
      <c r="S4" s="8" t="s">
        <v>85</v>
      </c>
      <c r="T4" s="37"/>
      <c r="W4" s="52"/>
    </row>
    <row r="5" spans="2:23" ht="15.75" customHeight="1" x14ac:dyDescent="0.2">
      <c r="B5" s="1" t="s">
        <v>56</v>
      </c>
      <c r="C5" s="1">
        <v>812</v>
      </c>
      <c r="D5" s="37"/>
      <c r="E5" s="105" t="s">
        <v>9</v>
      </c>
      <c r="F5" s="106">
        <v>295</v>
      </c>
      <c r="H5" s="37"/>
      <c r="I5" s="22" t="s">
        <v>8</v>
      </c>
      <c r="J5" s="23">
        <v>39</v>
      </c>
      <c r="K5" s="24">
        <v>45934</v>
      </c>
      <c r="M5" s="25" t="s">
        <v>7</v>
      </c>
      <c r="N5" s="26">
        <v>16</v>
      </c>
      <c r="P5" s="6" t="s">
        <v>33</v>
      </c>
      <c r="Q5" s="87">
        <v>92.11</v>
      </c>
      <c r="R5" s="4">
        <v>45871</v>
      </c>
      <c r="S5" s="7" t="s">
        <v>57</v>
      </c>
      <c r="T5" s="37"/>
      <c r="W5" s="52"/>
    </row>
    <row r="6" spans="2:23" ht="15.75" customHeight="1" x14ac:dyDescent="0.2">
      <c r="B6" s="1" t="s">
        <v>63</v>
      </c>
      <c r="C6" s="1">
        <v>946</v>
      </c>
      <c r="D6" s="37"/>
      <c r="E6" s="105" t="s">
        <v>12</v>
      </c>
      <c r="F6" s="106">
        <v>97</v>
      </c>
      <c r="H6" s="37"/>
      <c r="I6" s="22" t="s">
        <v>11</v>
      </c>
      <c r="J6" s="23">
        <v>686</v>
      </c>
      <c r="K6" s="24">
        <v>45719</v>
      </c>
      <c r="M6" s="25" t="s">
        <v>10</v>
      </c>
      <c r="N6" s="26">
        <v>20</v>
      </c>
      <c r="P6" s="6" t="s">
        <v>35</v>
      </c>
      <c r="Q6" s="85">
        <f>6.79+8.98</f>
        <v>15.77</v>
      </c>
      <c r="R6" s="5">
        <v>45896</v>
      </c>
      <c r="S6" s="8" t="s">
        <v>110</v>
      </c>
      <c r="T6" s="37"/>
      <c r="U6" s="75"/>
      <c r="V6" s="37"/>
      <c r="W6" s="52"/>
    </row>
    <row r="7" spans="2:23" ht="15.75" customHeight="1" x14ac:dyDescent="0.2">
      <c r="B7" s="343" t="s">
        <v>15</v>
      </c>
      <c r="C7" s="41">
        <v>420</v>
      </c>
      <c r="D7" s="37"/>
      <c r="E7" s="105" t="s">
        <v>16</v>
      </c>
      <c r="F7" s="106">
        <v>100</v>
      </c>
      <c r="H7" s="37"/>
      <c r="I7" s="22" t="s">
        <v>14</v>
      </c>
      <c r="J7" s="23">
        <v>76</v>
      </c>
      <c r="K7" s="24">
        <v>45718</v>
      </c>
      <c r="M7" s="25" t="s">
        <v>13</v>
      </c>
      <c r="N7" s="26">
        <v>19.899999999999999</v>
      </c>
      <c r="P7" s="9" t="s">
        <v>35</v>
      </c>
      <c r="Q7" s="86">
        <v>7</v>
      </c>
      <c r="R7" s="50">
        <v>45893</v>
      </c>
      <c r="S7" s="10" t="s">
        <v>104</v>
      </c>
      <c r="T7" s="37"/>
      <c r="U7" s="37"/>
      <c r="V7" s="37"/>
      <c r="W7" s="52"/>
    </row>
    <row r="8" spans="2:23" ht="15.75" customHeight="1" x14ac:dyDescent="0.2">
      <c r="B8" s="344"/>
      <c r="C8" s="41">
        <v>409</v>
      </c>
      <c r="D8" s="37"/>
      <c r="E8" s="105" t="s">
        <v>19</v>
      </c>
      <c r="F8" s="106">
        <v>60</v>
      </c>
      <c r="H8" s="37"/>
      <c r="I8" s="22" t="s">
        <v>18</v>
      </c>
      <c r="J8" s="23">
        <v>60</v>
      </c>
      <c r="K8" s="24">
        <v>45658</v>
      </c>
      <c r="M8" s="25" t="s">
        <v>17</v>
      </c>
      <c r="N8" s="26">
        <v>7</v>
      </c>
      <c r="P8" s="9" t="s">
        <v>33</v>
      </c>
      <c r="Q8" s="86">
        <v>42.13</v>
      </c>
      <c r="R8" s="50">
        <v>45882</v>
      </c>
      <c r="S8" s="10" t="s">
        <v>86</v>
      </c>
      <c r="T8" s="37"/>
      <c r="U8" s="37"/>
      <c r="V8" s="37"/>
      <c r="W8" s="52"/>
    </row>
    <row r="9" spans="2:23" ht="15.75" customHeight="1" x14ac:dyDescent="0.2">
      <c r="B9" s="11" t="s">
        <v>53</v>
      </c>
      <c r="C9" s="42"/>
      <c r="D9" s="37"/>
      <c r="E9" s="105" t="s">
        <v>21</v>
      </c>
      <c r="F9" s="106">
        <v>150</v>
      </c>
      <c r="H9" s="37"/>
      <c r="I9" s="22" t="s">
        <v>25</v>
      </c>
      <c r="J9" s="23">
        <v>39.99</v>
      </c>
      <c r="K9" s="30">
        <v>45749</v>
      </c>
      <c r="M9" s="31" t="s">
        <v>20</v>
      </c>
      <c r="N9" s="32">
        <f>SUM(N3:N8)</f>
        <v>97.800000000000011</v>
      </c>
      <c r="P9" s="9" t="s">
        <v>35</v>
      </c>
      <c r="Q9" s="86">
        <v>22.99</v>
      </c>
      <c r="R9" s="50">
        <v>45883</v>
      </c>
      <c r="S9" s="10" t="s">
        <v>89</v>
      </c>
      <c r="T9" s="37"/>
      <c r="U9" s="37"/>
      <c r="V9" s="37"/>
      <c r="W9" s="52"/>
    </row>
    <row r="10" spans="2:23" ht="15.75" customHeight="1" x14ac:dyDescent="0.2">
      <c r="B10" s="11" t="s">
        <v>54</v>
      </c>
      <c r="C10" s="42">
        <v>500</v>
      </c>
      <c r="D10" s="37"/>
      <c r="E10" s="105" t="s">
        <v>22</v>
      </c>
      <c r="F10" s="106">
        <v>60</v>
      </c>
      <c r="H10" s="37"/>
      <c r="I10" s="22" t="s">
        <v>45</v>
      </c>
      <c r="J10" s="23">
        <v>31.68</v>
      </c>
      <c r="K10" s="30">
        <v>45658</v>
      </c>
      <c r="N10" s="37"/>
      <c r="O10" s="37"/>
      <c r="P10" s="9" t="s">
        <v>58</v>
      </c>
      <c r="Q10" s="86">
        <v>35.47</v>
      </c>
      <c r="R10" s="50">
        <v>45875</v>
      </c>
      <c r="S10" s="10" t="s">
        <v>70</v>
      </c>
      <c r="T10" s="37"/>
      <c r="U10" s="37"/>
      <c r="V10" s="37"/>
      <c r="W10" s="52"/>
    </row>
    <row r="11" spans="2:23" ht="16.5" x14ac:dyDescent="0.2">
      <c r="B11" s="11" t="s">
        <v>55</v>
      </c>
      <c r="C11" s="42"/>
      <c r="D11" s="37"/>
      <c r="E11" s="105" t="s">
        <v>23</v>
      </c>
      <c r="F11" s="106">
        <v>600</v>
      </c>
      <c r="H11" s="37"/>
      <c r="I11" s="22" t="s">
        <v>45</v>
      </c>
      <c r="J11" s="23">
        <v>26</v>
      </c>
      <c r="K11" s="30">
        <v>45658</v>
      </c>
      <c r="M11" s="341" t="s">
        <v>40</v>
      </c>
      <c r="N11" s="342"/>
      <c r="P11" s="9" t="s">
        <v>33</v>
      </c>
      <c r="Q11" s="115">
        <v>18</v>
      </c>
      <c r="R11" s="117">
        <v>45890</v>
      </c>
      <c r="S11" s="119" t="s">
        <v>96</v>
      </c>
      <c r="T11" s="37"/>
      <c r="U11" s="37"/>
      <c r="V11" s="37"/>
      <c r="W11" s="52"/>
    </row>
    <row r="12" spans="2:23" ht="16.5" x14ac:dyDescent="0.2">
      <c r="B12" s="346" t="s">
        <v>20</v>
      </c>
      <c r="C12" s="347">
        <f>SUM(C3:C9,C11)</f>
        <v>7187.73</v>
      </c>
      <c r="D12" s="37"/>
      <c r="E12" s="105" t="s">
        <v>24</v>
      </c>
      <c r="F12" s="106">
        <f>N9</f>
        <v>97.800000000000011</v>
      </c>
      <c r="H12" s="37"/>
      <c r="I12" s="22" t="s">
        <v>45</v>
      </c>
      <c r="J12" s="23">
        <v>11.62</v>
      </c>
      <c r="K12" s="30">
        <v>45658</v>
      </c>
      <c r="M12" s="27" t="s">
        <v>41</v>
      </c>
      <c r="N12" s="38">
        <v>15000</v>
      </c>
      <c r="P12" s="9" t="s">
        <v>33</v>
      </c>
      <c r="Q12" s="115">
        <v>32.950000000000003</v>
      </c>
      <c r="R12" s="117">
        <v>45887</v>
      </c>
      <c r="S12" s="119" t="s">
        <v>97</v>
      </c>
      <c r="T12" s="37"/>
      <c r="U12" s="37"/>
      <c r="V12" s="37"/>
      <c r="W12" s="52"/>
    </row>
    <row r="13" spans="2:23" ht="16.5" x14ac:dyDescent="0.2">
      <c r="B13" s="344"/>
      <c r="C13" s="348"/>
      <c r="D13" s="37"/>
      <c r="E13" s="107" t="s">
        <v>20</v>
      </c>
      <c r="F13" s="108">
        <f>SUM(F3:F12)</f>
        <v>2815.8</v>
      </c>
      <c r="H13" s="37"/>
      <c r="I13" s="22" t="s">
        <v>46</v>
      </c>
      <c r="J13" s="23">
        <v>16.55</v>
      </c>
      <c r="K13" s="30">
        <v>45658</v>
      </c>
      <c r="M13" s="28" t="s">
        <v>42</v>
      </c>
      <c r="N13" s="39">
        <v>500</v>
      </c>
      <c r="P13" s="84" t="s">
        <v>32</v>
      </c>
      <c r="Q13" s="86">
        <v>35</v>
      </c>
      <c r="R13" s="50">
        <v>45883</v>
      </c>
      <c r="S13" s="10" t="s">
        <v>91</v>
      </c>
      <c r="T13" s="37"/>
      <c r="U13" s="37"/>
      <c r="V13" s="37"/>
      <c r="W13" s="52"/>
    </row>
    <row r="14" spans="2:23" ht="16.5" x14ac:dyDescent="0.2">
      <c r="B14" s="37"/>
      <c r="C14" s="37"/>
      <c r="D14" s="37"/>
      <c r="E14" s="37"/>
      <c r="F14" s="37"/>
      <c r="G14" s="37"/>
      <c r="H14" s="37"/>
      <c r="I14" s="22" t="s">
        <v>47</v>
      </c>
      <c r="J14" s="23">
        <v>38.71</v>
      </c>
      <c r="K14" s="30">
        <v>45658</v>
      </c>
      <c r="M14" s="29" t="s">
        <v>64</v>
      </c>
      <c r="N14" s="40">
        <f>N12-N13</f>
        <v>14500</v>
      </c>
      <c r="P14" s="9" t="s">
        <v>50</v>
      </c>
      <c r="Q14" s="86">
        <f>11.9+3*2.99</f>
        <v>20.87</v>
      </c>
      <c r="R14" s="50">
        <v>45896</v>
      </c>
      <c r="S14" s="10" t="s">
        <v>109</v>
      </c>
      <c r="T14" s="37"/>
      <c r="U14" s="37"/>
      <c r="V14" s="37"/>
      <c r="W14" s="52"/>
    </row>
    <row r="15" spans="2:23" ht="12.75" x14ac:dyDescent="0.2">
      <c r="B15" s="43"/>
      <c r="C15" s="43"/>
      <c r="D15" s="43"/>
      <c r="E15" s="44"/>
      <c r="F15" s="70"/>
      <c r="G15" s="37"/>
      <c r="H15" s="37"/>
      <c r="I15" s="22" t="s">
        <v>48</v>
      </c>
      <c r="J15" s="23">
        <v>34.5</v>
      </c>
      <c r="K15" s="30">
        <v>45658</v>
      </c>
      <c r="N15" s="37"/>
      <c r="O15" s="37"/>
      <c r="P15" s="9" t="s">
        <v>50</v>
      </c>
      <c r="Q15" s="86">
        <v>14.59</v>
      </c>
      <c r="R15" s="50">
        <v>45877</v>
      </c>
      <c r="S15" s="10" t="s">
        <v>76</v>
      </c>
      <c r="T15" s="37"/>
      <c r="U15" s="37"/>
      <c r="V15" s="37"/>
      <c r="W15" s="52"/>
    </row>
    <row r="16" spans="2:23" ht="12.75" x14ac:dyDescent="0.2">
      <c r="B16" s="335" t="s">
        <v>20</v>
      </c>
      <c r="C16" s="337">
        <f>C12-F13-J17</f>
        <v>3097.6199999999994</v>
      </c>
      <c r="D16" s="43"/>
      <c r="E16" s="71"/>
      <c r="F16" s="72"/>
      <c r="G16" s="44"/>
      <c r="H16" s="44"/>
      <c r="I16" s="65" t="s">
        <v>49</v>
      </c>
      <c r="J16" s="23">
        <f>0.41+0.89+1.06</f>
        <v>2.3600000000000003</v>
      </c>
      <c r="K16" s="30">
        <v>45658</v>
      </c>
      <c r="N16" s="37"/>
      <c r="O16" s="37"/>
      <c r="P16" s="9" t="s">
        <v>50</v>
      </c>
      <c r="Q16" s="86">
        <v>61.49</v>
      </c>
      <c r="R16" s="50">
        <v>45869</v>
      </c>
      <c r="S16" s="10" t="s">
        <v>61</v>
      </c>
      <c r="T16" s="37"/>
      <c r="U16" s="37"/>
      <c r="V16" s="37"/>
      <c r="W16" s="52"/>
    </row>
    <row r="17" spans="2:23" ht="12.75" x14ac:dyDescent="0.2">
      <c r="B17" s="336"/>
      <c r="C17" s="336"/>
      <c r="D17" s="43"/>
      <c r="E17" s="70"/>
      <c r="F17" s="69"/>
      <c r="G17" s="44"/>
      <c r="H17" s="44"/>
      <c r="I17" s="66" t="s">
        <v>20</v>
      </c>
      <c r="J17" s="64">
        <f>SUM(J3:J16)</f>
        <v>1274.31</v>
      </c>
      <c r="K17" s="33" t="s">
        <v>39</v>
      </c>
      <c r="N17" s="37"/>
      <c r="P17" s="9" t="s">
        <v>50</v>
      </c>
      <c r="Q17" s="86">
        <v>268.99</v>
      </c>
      <c r="R17" s="50">
        <v>45872</v>
      </c>
      <c r="S17" s="10" t="s">
        <v>61</v>
      </c>
      <c r="T17" s="37"/>
      <c r="U17" s="37"/>
      <c r="V17" s="37"/>
      <c r="W17" s="52"/>
    </row>
    <row r="18" spans="2:23" ht="12.75" customHeight="1" x14ac:dyDescent="0.2">
      <c r="B18" s="43"/>
      <c r="C18" s="43"/>
      <c r="D18" s="43"/>
      <c r="F18" s="69"/>
      <c r="J18" s="37"/>
      <c r="K18" s="37"/>
      <c r="L18" s="37"/>
      <c r="M18" s="37"/>
      <c r="N18" s="37"/>
      <c r="P18" s="9" t="s">
        <v>35</v>
      </c>
      <c r="Q18" s="86">
        <v>30</v>
      </c>
      <c r="R18" s="50">
        <v>45892</v>
      </c>
      <c r="S18" s="10" t="s">
        <v>105</v>
      </c>
      <c r="T18" s="37"/>
      <c r="U18" s="37"/>
      <c r="V18" s="37"/>
      <c r="W18" s="52"/>
    </row>
    <row r="19" spans="2:23" ht="12.75" x14ac:dyDescent="0.2">
      <c r="J19" s="37"/>
      <c r="K19" s="37"/>
      <c r="L19" s="37"/>
      <c r="M19" s="37"/>
      <c r="N19" s="37"/>
      <c r="P19" s="82" t="s">
        <v>35</v>
      </c>
      <c r="Q19" s="86">
        <v>119</v>
      </c>
      <c r="R19" s="50">
        <v>45877</v>
      </c>
      <c r="S19" s="10" t="s">
        <v>80</v>
      </c>
      <c r="T19" s="37"/>
      <c r="U19" s="37"/>
      <c r="V19" s="37"/>
      <c r="W19" s="52"/>
    </row>
    <row r="20" spans="2:23" ht="12.75" x14ac:dyDescent="0.2">
      <c r="B20" s="37"/>
      <c r="C20" s="37"/>
      <c r="D20" s="37"/>
      <c r="J20" s="37"/>
      <c r="K20" s="37"/>
      <c r="L20" s="37"/>
      <c r="M20" s="37"/>
      <c r="N20" s="37"/>
      <c r="P20" s="9" t="s">
        <v>59</v>
      </c>
      <c r="Q20" s="86">
        <v>18.899999999999999</v>
      </c>
      <c r="R20" s="50">
        <v>45877</v>
      </c>
      <c r="S20" s="10" t="s">
        <v>81</v>
      </c>
      <c r="T20" s="37"/>
    </row>
    <row r="21" spans="2:23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36" t="s">
        <v>59</v>
      </c>
      <c r="Q21" s="85">
        <v>18.57</v>
      </c>
      <c r="R21" s="5">
        <v>45869</v>
      </c>
      <c r="S21" s="8" t="s">
        <v>51</v>
      </c>
      <c r="T21" s="37"/>
    </row>
    <row r="22" spans="2:23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122">
        <f>SUMIFS(Q3:Q59,P3:P59,"Casa")</f>
        <v>35</v>
      </c>
      <c r="K22" s="345" t="str">
        <f>IF(J28&gt;=200,"ATENÇÃO AO GASTO EXTRA R$ " &amp; SUM(J28), "GASTO COM EXTRA OK !")</f>
        <v>ATENÇÃO AO GASTO EXTRA R$ 637,14</v>
      </c>
      <c r="L22" s="345"/>
      <c r="M22" s="345"/>
      <c r="N22" s="345"/>
      <c r="P22" s="9" t="s">
        <v>58</v>
      </c>
      <c r="Q22" s="86">
        <v>10</v>
      </c>
      <c r="R22" s="50">
        <v>45877</v>
      </c>
      <c r="S22" s="10" t="s">
        <v>77</v>
      </c>
    </row>
    <row r="23" spans="2:23" ht="15.75" customHeight="1" x14ac:dyDescent="0.2">
      <c r="B23" s="3" t="s">
        <v>31</v>
      </c>
      <c r="C23" s="46">
        <f>C16*40%</f>
        <v>1239.0479999999998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122">
        <f>SUMIFS(Q3:Q59,P3:P59,"Lazer")</f>
        <v>400</v>
      </c>
      <c r="K23" s="345"/>
      <c r="L23" s="345"/>
      <c r="M23" s="345"/>
      <c r="N23" s="345"/>
      <c r="P23" s="9" t="s">
        <v>59</v>
      </c>
      <c r="Q23" s="86">
        <v>37.799999999999997</v>
      </c>
      <c r="R23" s="50">
        <v>45875</v>
      </c>
      <c r="S23" s="10" t="s">
        <v>69</v>
      </c>
    </row>
    <row r="24" spans="2:23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f>C23</f>
        <v>1239.0479999999998</v>
      </c>
      <c r="G24" s="68"/>
      <c r="H24" s="2"/>
      <c r="I24" s="6" t="s">
        <v>34</v>
      </c>
      <c r="J24" s="122">
        <f>SUMIFS(Q3:Q59,P3:P59,"Roupas")</f>
        <v>0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9" t="s">
        <v>35</v>
      </c>
      <c r="Q24" s="86">
        <v>5</v>
      </c>
      <c r="R24" s="50">
        <v>45882</v>
      </c>
      <c r="S24" s="10" t="s">
        <v>87</v>
      </c>
    </row>
    <row r="25" spans="2:23" ht="15.75" customHeight="1" x14ac:dyDescent="0.2">
      <c r="B25" s="3" t="s">
        <v>33</v>
      </c>
      <c r="C25" s="46">
        <v>400</v>
      </c>
      <c r="D25" s="43"/>
      <c r="E25" s="54" t="s">
        <v>32</v>
      </c>
      <c r="F25" s="55">
        <f>C24-J22</f>
        <v>165</v>
      </c>
      <c r="G25" s="68"/>
      <c r="H25" s="2"/>
      <c r="I25" s="6" t="s">
        <v>19</v>
      </c>
      <c r="J25" s="122">
        <f>SUMIFS(Q3:Q59,P3:P59,"Nesco")</f>
        <v>47.8</v>
      </c>
      <c r="K25" s="334"/>
      <c r="L25" s="334"/>
      <c r="M25" s="334"/>
      <c r="N25" s="334"/>
      <c r="P25" s="9" t="s">
        <v>59</v>
      </c>
      <c r="Q25" s="113">
        <v>5.99</v>
      </c>
      <c r="R25" s="117">
        <v>45886</v>
      </c>
      <c r="S25" s="119" t="s">
        <v>95</v>
      </c>
    </row>
    <row r="26" spans="2:23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v>0.01</v>
      </c>
      <c r="G26" s="68"/>
      <c r="H26" s="2"/>
      <c r="I26" s="6" t="s">
        <v>21</v>
      </c>
      <c r="J26" s="122">
        <f>SUMIFS(Q3:Q59,P3:P59,"Gasolina / Óleo")</f>
        <v>174.06</v>
      </c>
      <c r="P26" s="83" t="s">
        <v>50</v>
      </c>
      <c r="Q26" s="86">
        <v>41.75</v>
      </c>
      <c r="R26" s="50">
        <v>45875</v>
      </c>
      <c r="S26" s="10" t="s">
        <v>71</v>
      </c>
    </row>
    <row r="27" spans="2:23" ht="15.75" customHeight="1" x14ac:dyDescent="0.2">
      <c r="B27" s="13" t="s">
        <v>35</v>
      </c>
      <c r="C27" s="46">
        <f>C16-SUM(C23:C26)-SUM(C31:C32)</f>
        <v>858.57199999999966</v>
      </c>
      <c r="D27" s="43"/>
      <c r="E27" s="54" t="s">
        <v>34</v>
      </c>
      <c r="F27" s="55">
        <f>C26-J24</f>
        <v>200</v>
      </c>
      <c r="G27" s="68"/>
      <c r="H27" s="2"/>
      <c r="I27" s="6" t="s">
        <v>50</v>
      </c>
      <c r="J27" s="122">
        <f>SUMIFS(Q3:Q59,P3:P59,"Compras do Mês")</f>
        <v>629.42999999999995</v>
      </c>
      <c r="P27" s="9" t="s">
        <v>50</v>
      </c>
      <c r="Q27" s="86">
        <v>25.85</v>
      </c>
      <c r="R27" s="50">
        <v>45894</v>
      </c>
      <c r="S27" s="111" t="s">
        <v>108</v>
      </c>
    </row>
    <row r="28" spans="2:23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1.960000000000008</v>
      </c>
      <c r="G28" s="68"/>
      <c r="H28" s="2"/>
      <c r="I28" s="6" t="s">
        <v>35</v>
      </c>
      <c r="J28" s="122">
        <f>SUMIFS(Q3:Q59,P3:P59,"Extras")</f>
        <v>637.1400000000001</v>
      </c>
      <c r="P28" s="9" t="s">
        <v>21</v>
      </c>
      <c r="Q28" s="85">
        <v>53.36</v>
      </c>
      <c r="R28" s="5">
        <v>45874</v>
      </c>
      <c r="S28" s="8" t="s">
        <v>67</v>
      </c>
    </row>
    <row r="29" spans="2:23" ht="15.75" customHeight="1" x14ac:dyDescent="0.2">
      <c r="B29" s="12" t="s">
        <v>21</v>
      </c>
      <c r="C29" s="48">
        <v>150</v>
      </c>
      <c r="D29" s="43"/>
      <c r="E29" s="56" t="s">
        <v>58</v>
      </c>
      <c r="F29" s="57">
        <f>C32-J30</f>
        <v>1.3400000000000034</v>
      </c>
      <c r="G29" s="68"/>
      <c r="H29" s="2"/>
      <c r="I29" s="6" t="s">
        <v>59</v>
      </c>
      <c r="J29" s="123">
        <f>SUMIFS(Q3:Q59,P3:P59,"Bobeirinhas V")</f>
        <v>98.039999999999992</v>
      </c>
      <c r="P29" s="9" t="s">
        <v>21</v>
      </c>
      <c r="Q29" s="86">
        <v>42.59</v>
      </c>
      <c r="R29" s="50">
        <v>45882</v>
      </c>
      <c r="S29" s="10" t="s">
        <v>67</v>
      </c>
    </row>
    <row r="30" spans="2:23" ht="15.75" customHeight="1" x14ac:dyDescent="0.2">
      <c r="B30" s="13" t="s">
        <v>50</v>
      </c>
      <c r="C30" s="47">
        <v>600</v>
      </c>
      <c r="D30" s="43"/>
      <c r="E30" s="58" t="s">
        <v>35</v>
      </c>
      <c r="F30" s="59">
        <f>C27-J28</f>
        <v>221.43199999999956</v>
      </c>
      <c r="G30" s="68"/>
      <c r="H30" s="2"/>
      <c r="I30" s="9" t="s">
        <v>58</v>
      </c>
      <c r="J30" s="124">
        <f>SUMIFS(Q3:Q59,P3:P59,"Bobeirinhas J")</f>
        <v>98.66</v>
      </c>
      <c r="P30" s="9" t="s">
        <v>21</v>
      </c>
      <c r="Q30" s="86">
        <v>78.11</v>
      </c>
      <c r="R30" s="50">
        <v>45898</v>
      </c>
      <c r="S30" s="10" t="s">
        <v>67</v>
      </c>
    </row>
    <row r="31" spans="2:23" ht="15.75" customHeight="1" x14ac:dyDescent="0.2">
      <c r="B31" s="14" t="s">
        <v>59</v>
      </c>
      <c r="C31" s="47">
        <v>100</v>
      </c>
      <c r="D31" s="43"/>
      <c r="E31" s="60" t="s">
        <v>19</v>
      </c>
      <c r="F31" s="61">
        <f>C28-J25</f>
        <v>12.200000000000003</v>
      </c>
      <c r="G31" s="68"/>
      <c r="H31" s="2"/>
      <c r="P31" s="9" t="s">
        <v>33</v>
      </c>
      <c r="Q31" s="86">
        <v>72</v>
      </c>
      <c r="R31" s="50">
        <v>45883</v>
      </c>
      <c r="S31" s="10" t="s">
        <v>93</v>
      </c>
    </row>
    <row r="32" spans="2:23" ht="16.5" customHeight="1" x14ac:dyDescent="0.2">
      <c r="B32" s="15" t="s">
        <v>58</v>
      </c>
      <c r="C32" s="49">
        <v>100</v>
      </c>
      <c r="D32" s="43"/>
      <c r="E32" s="60" t="s">
        <v>21</v>
      </c>
      <c r="F32" s="61">
        <f>C29-J26</f>
        <v>-24.060000000000002</v>
      </c>
      <c r="G32" s="68"/>
      <c r="H32" s="2"/>
      <c r="J32" s="37"/>
      <c r="P32" s="9" t="s">
        <v>58</v>
      </c>
      <c r="Q32" s="86">
        <v>22.89</v>
      </c>
      <c r="R32" s="50">
        <v>45877</v>
      </c>
      <c r="S32" s="10" t="s">
        <v>78</v>
      </c>
    </row>
    <row r="33" spans="2:23" ht="15.75" customHeight="1" x14ac:dyDescent="0.2">
      <c r="B33" s="73"/>
      <c r="C33" s="74"/>
      <c r="D33" s="43"/>
      <c r="E33" s="60" t="s">
        <v>50</v>
      </c>
      <c r="F33" s="61">
        <f>C30-J27</f>
        <v>-29.42999999999995</v>
      </c>
      <c r="G33" s="68"/>
      <c r="H33" s="2"/>
      <c r="J33" s="37"/>
      <c r="M33" s="96"/>
      <c r="P33" s="9" t="s">
        <v>50</v>
      </c>
      <c r="Q33" s="86">
        <v>30.46</v>
      </c>
      <c r="R33" s="50">
        <v>45893</v>
      </c>
      <c r="S33" s="10" t="s">
        <v>106</v>
      </c>
    </row>
    <row r="34" spans="2:23" ht="15.75" customHeight="1" x14ac:dyDescent="0.2">
      <c r="B34" s="44"/>
      <c r="C34" s="44"/>
      <c r="D34" s="43"/>
      <c r="E34" s="43"/>
      <c r="F34" s="43"/>
      <c r="G34" s="43"/>
      <c r="H34" s="2"/>
      <c r="J34" s="70">
        <f>F25+F26+F27+F28+F29+F30+F31+F32+F33</f>
        <v>548.45199999999966</v>
      </c>
      <c r="P34" s="9" t="s">
        <v>35</v>
      </c>
      <c r="Q34" s="86">
        <v>14.9</v>
      </c>
      <c r="R34" s="50">
        <v>45890</v>
      </c>
      <c r="S34" s="10" t="s">
        <v>100</v>
      </c>
    </row>
    <row r="35" spans="2:23" ht="15.75" customHeight="1" x14ac:dyDescent="0.2">
      <c r="B35" s="37"/>
      <c r="C35" s="37"/>
      <c r="D35" s="37"/>
      <c r="E35" s="76" t="s">
        <v>79</v>
      </c>
      <c r="F35" s="77">
        <f>SUM(F24:F30)</f>
        <v>1828.7899999999993</v>
      </c>
      <c r="G35" s="70"/>
      <c r="I35" s="128"/>
      <c r="J35" s="37"/>
      <c r="K35">
        <v>662</v>
      </c>
      <c r="P35" s="9" t="s">
        <v>33</v>
      </c>
      <c r="Q35" s="86">
        <v>43.32</v>
      </c>
      <c r="R35" s="50">
        <v>45880</v>
      </c>
      <c r="S35" s="10" t="s">
        <v>75</v>
      </c>
    </row>
    <row r="36" spans="2:23" ht="15.75" customHeight="1" x14ac:dyDescent="0.2">
      <c r="F36" s="69"/>
      <c r="I36" s="69"/>
      <c r="K36" s="69">
        <f>K35-J34</f>
        <v>113.54800000000034</v>
      </c>
      <c r="P36" s="9" t="s">
        <v>50</v>
      </c>
      <c r="Q36" s="114">
        <v>7.19</v>
      </c>
      <c r="R36" s="118">
        <v>45898</v>
      </c>
      <c r="S36" s="120" t="s">
        <v>111</v>
      </c>
    </row>
    <row r="37" spans="2:23" ht="12.75" x14ac:dyDescent="0.2">
      <c r="F37" s="69"/>
      <c r="K37" s="69">
        <f>113.55+F32+F33</f>
        <v>60.060000000000045</v>
      </c>
      <c r="P37" s="9" t="s">
        <v>33</v>
      </c>
      <c r="Q37" s="114">
        <v>27.63</v>
      </c>
      <c r="R37" s="118">
        <v>45882</v>
      </c>
      <c r="S37" s="120" t="s">
        <v>83</v>
      </c>
    </row>
    <row r="38" spans="2:23" ht="13.5" customHeight="1" x14ac:dyDescent="0.2">
      <c r="F38" s="69"/>
      <c r="P38" s="92" t="s">
        <v>50</v>
      </c>
      <c r="Q38" s="114">
        <v>91.09</v>
      </c>
      <c r="R38" s="118">
        <v>45880</v>
      </c>
      <c r="S38" s="120" t="s">
        <v>82</v>
      </c>
    </row>
    <row r="39" spans="2:23" ht="15.75" customHeight="1" x14ac:dyDescent="0.2">
      <c r="P39" s="92" t="s">
        <v>50</v>
      </c>
      <c r="Q39" s="91">
        <f>53.14-5.99</f>
        <v>47.15</v>
      </c>
      <c r="R39" s="90">
        <v>45886</v>
      </c>
      <c r="S39" s="9" t="s">
        <v>94</v>
      </c>
    </row>
    <row r="40" spans="2:23" ht="15.75" customHeight="1" x14ac:dyDescent="0.2">
      <c r="P40" s="36" t="s">
        <v>33</v>
      </c>
      <c r="Q40" s="85">
        <v>2.79</v>
      </c>
      <c r="R40" s="5">
        <v>45874</v>
      </c>
      <c r="S40" s="8" t="s">
        <v>66</v>
      </c>
    </row>
    <row r="41" spans="2:23" ht="15.75" customHeight="1" x14ac:dyDescent="0.2">
      <c r="P41" s="36" t="s">
        <v>33</v>
      </c>
      <c r="Q41" s="85">
        <v>17.920000000000002</v>
      </c>
      <c r="R41" s="5">
        <v>45875</v>
      </c>
      <c r="S41" s="8" t="s">
        <v>68</v>
      </c>
    </row>
    <row r="42" spans="2:23" ht="15.75" customHeight="1" x14ac:dyDescent="0.2">
      <c r="P42" s="9" t="s">
        <v>35</v>
      </c>
      <c r="Q42" s="86">
        <v>27.4</v>
      </c>
      <c r="R42" s="50">
        <v>45883</v>
      </c>
      <c r="S42" s="10" t="s">
        <v>90</v>
      </c>
    </row>
    <row r="43" spans="2:23" ht="15.75" customHeight="1" x14ac:dyDescent="0.2">
      <c r="N43" s="109"/>
      <c r="P43" s="82" t="s">
        <v>33</v>
      </c>
      <c r="Q43" s="86">
        <v>8.0299999999999994</v>
      </c>
      <c r="R43" s="50">
        <v>45890</v>
      </c>
      <c r="S43" s="10" t="s">
        <v>90</v>
      </c>
    </row>
    <row r="44" spans="2:23" ht="15.75" customHeight="1" x14ac:dyDescent="0.2">
      <c r="P44" s="9" t="s">
        <v>50</v>
      </c>
      <c r="Q44" s="86">
        <v>20</v>
      </c>
      <c r="R44" s="50">
        <v>45883</v>
      </c>
      <c r="S44" s="10" t="s">
        <v>92</v>
      </c>
    </row>
    <row r="45" spans="2:23" ht="15.75" customHeight="1" x14ac:dyDescent="0.2">
      <c r="P45" s="36" t="s">
        <v>33</v>
      </c>
      <c r="Q45" s="86">
        <v>28.9</v>
      </c>
      <c r="R45" s="50">
        <v>45890</v>
      </c>
      <c r="S45" s="10" t="s">
        <v>101</v>
      </c>
    </row>
    <row r="46" spans="2:23" ht="15.75" customHeight="1" x14ac:dyDescent="0.2">
      <c r="P46" s="82" t="s">
        <v>35</v>
      </c>
      <c r="Q46" s="86">
        <v>18.11</v>
      </c>
      <c r="R46" s="50">
        <v>45890</v>
      </c>
      <c r="S46" s="10" t="s">
        <v>98</v>
      </c>
    </row>
    <row r="47" spans="2:23" ht="15.75" customHeight="1" x14ac:dyDescent="0.2">
      <c r="P47" s="9" t="s">
        <v>35</v>
      </c>
      <c r="Q47" s="86">
        <v>165.8</v>
      </c>
      <c r="R47" s="110">
        <v>45891</v>
      </c>
      <c r="S47" s="10" t="s">
        <v>103</v>
      </c>
    </row>
    <row r="48" spans="2:23" ht="15.75" customHeight="1" x14ac:dyDescent="0.2">
      <c r="P48" s="82" t="s">
        <v>33</v>
      </c>
      <c r="Q48" s="86">
        <v>14.22</v>
      </c>
      <c r="R48" s="110">
        <v>45891</v>
      </c>
      <c r="S48" s="10" t="s">
        <v>103</v>
      </c>
      <c r="W48" s="51"/>
    </row>
    <row r="49" spans="13:23" ht="15" customHeight="1" x14ac:dyDescent="0.2">
      <c r="P49" s="9" t="s">
        <v>35</v>
      </c>
      <c r="Q49" s="86">
        <v>109.9</v>
      </c>
      <c r="R49" s="50">
        <v>45882</v>
      </c>
      <c r="S49" s="10" t="s">
        <v>88</v>
      </c>
      <c r="T49" s="51"/>
      <c r="U49" s="51"/>
      <c r="V49" s="51"/>
      <c r="W49" s="51"/>
    </row>
    <row r="50" spans="13:23" ht="15.75" customHeight="1" x14ac:dyDescent="0.2">
      <c r="P50" s="9" t="s">
        <v>19</v>
      </c>
      <c r="Q50" s="86">
        <v>47.8</v>
      </c>
      <c r="R50" s="50">
        <v>45880</v>
      </c>
      <c r="S50" s="10" t="s">
        <v>74</v>
      </c>
    </row>
    <row r="51" spans="13:23" ht="15.75" customHeight="1" x14ac:dyDescent="0.2">
      <c r="P51" s="9" t="s">
        <v>59</v>
      </c>
      <c r="Q51" s="86">
        <v>11.78</v>
      </c>
      <c r="R51" s="50">
        <v>45876</v>
      </c>
      <c r="S51" s="10" t="s">
        <v>72</v>
      </c>
    </row>
    <row r="52" spans="13:23" ht="15.75" customHeight="1" x14ac:dyDescent="0.2">
      <c r="P52" s="9" t="s">
        <v>59</v>
      </c>
      <c r="Q52" s="86">
        <v>5</v>
      </c>
      <c r="R52" s="50">
        <v>45891</v>
      </c>
      <c r="S52" s="10" t="s">
        <v>99</v>
      </c>
    </row>
    <row r="53" spans="13:23" ht="15.75" customHeight="1" x14ac:dyDescent="0.2">
      <c r="P53" s="9" t="s">
        <v>58</v>
      </c>
      <c r="Q53" s="86">
        <v>13</v>
      </c>
      <c r="R53" s="50">
        <v>45876</v>
      </c>
      <c r="S53" s="10" t="s">
        <v>73</v>
      </c>
    </row>
    <row r="54" spans="13:23" ht="15.75" customHeight="1" x14ac:dyDescent="0.2">
      <c r="P54" s="9" t="s">
        <v>58</v>
      </c>
      <c r="Q54" s="86">
        <v>17.3</v>
      </c>
      <c r="R54" s="50">
        <v>45882</v>
      </c>
      <c r="S54" s="10" t="s">
        <v>84</v>
      </c>
    </row>
    <row r="55" spans="13:23" ht="15.75" customHeight="1" x14ac:dyDescent="0.2">
      <c r="P55" s="9" t="s">
        <v>35</v>
      </c>
      <c r="Q55" s="112">
        <v>7.97</v>
      </c>
      <c r="R55" s="116">
        <v>45869</v>
      </c>
      <c r="S55" s="113" t="s">
        <v>52</v>
      </c>
    </row>
    <row r="56" spans="13:23" ht="15.75" customHeight="1" x14ac:dyDescent="0.2">
      <c r="P56" s="9" t="s">
        <v>35</v>
      </c>
      <c r="Q56" s="86">
        <v>6.58</v>
      </c>
      <c r="R56" s="50">
        <v>45896</v>
      </c>
      <c r="S56" s="10" t="s">
        <v>52</v>
      </c>
    </row>
    <row r="57" spans="13:23" ht="15.75" customHeight="1" x14ac:dyDescent="0.2">
      <c r="P57" s="9" t="s">
        <v>35</v>
      </c>
      <c r="Q57" s="86">
        <v>12.72</v>
      </c>
      <c r="R57" s="50">
        <v>45898</v>
      </c>
      <c r="S57" s="10" t="s">
        <v>52</v>
      </c>
    </row>
    <row r="58" spans="13:23" ht="15.75" customHeight="1" x14ac:dyDescent="0.2">
      <c r="P58" s="94"/>
      <c r="Q58" s="94"/>
      <c r="R58" s="94"/>
      <c r="S58" s="94"/>
    </row>
    <row r="59" spans="13:23" ht="15.75" customHeight="1" x14ac:dyDescent="0.2">
      <c r="O59" t="s">
        <v>107</v>
      </c>
      <c r="P59" s="94"/>
      <c r="Q59" s="94"/>
      <c r="R59" s="94"/>
      <c r="S59" s="94"/>
    </row>
    <row r="63" spans="13:23" ht="15.75" customHeight="1" x14ac:dyDescent="0.2">
      <c r="M63" t="s">
        <v>39</v>
      </c>
    </row>
  </sheetData>
  <mergeCells count="10">
    <mergeCell ref="K24:N25"/>
    <mergeCell ref="B16:B17"/>
    <mergeCell ref="C16:C17"/>
    <mergeCell ref="E22:G22"/>
    <mergeCell ref="B2:C2"/>
    <mergeCell ref="M11:N11"/>
    <mergeCell ref="B7:B8"/>
    <mergeCell ref="K22:N23"/>
    <mergeCell ref="B12:B13"/>
    <mergeCell ref="C12:C13"/>
  </mergeCells>
  <conditionalFormatting sqref="F24:F33">
    <cfRule type="cellIs" dxfId="136" priority="3" operator="greaterThan">
      <formula>0</formula>
    </cfRule>
    <cfRule type="cellIs" dxfId="135" priority="7" operator="lessThan">
      <formula>0</formula>
    </cfRule>
  </conditionalFormatting>
  <conditionalFormatting sqref="K22">
    <cfRule type="containsText" dxfId="134" priority="2" operator="containsText" text="Gasto com Extra ok">
      <formula>NOT(ISERROR(SEARCH("Gasto com Extra ok",K22)))</formula>
    </cfRule>
    <cfRule type="containsText" dxfId="133" priority="4" operator="containsText" text="Continuem assim">
      <formula>NOT(ISERROR(SEARCH("Continuem assim",K22)))</formula>
    </cfRule>
    <cfRule type="containsText" dxfId="132" priority="8" operator="containsText" text="ATENÇÃO, JÁ GASTAMOS">
      <formula>NOT(ISERROR(SEARCH("ATENÇÃO, JÁ GASTAMOS",K22)))</formula>
    </cfRule>
    <cfRule type="containsText" dxfId="131" priority="9" operator="containsText" text="ATENÇÃO, JA GASTAMOS">
      <formula>NOT(ISERROR(SEARCH("ATENÇÃO, JA GASTAMOS",K22)))</formula>
    </cfRule>
    <cfRule type="containsText" dxfId="130" priority="10" operator="containsText" text="ATENÇÃO PARA OS GASTOS">
      <formula>NOT(ISERROR(SEARCH("ATENÇÃO PARA OS GASTOS",K22)))</formula>
    </cfRule>
    <cfRule type="cellIs" dxfId="129" priority="11" operator="lessThan">
      <formula>150</formula>
    </cfRule>
  </conditionalFormatting>
  <conditionalFormatting sqref="K24">
    <cfRule type="containsText" dxfId="128" priority="5" operator="containsText" text="Os valores estão positivos">
      <formula>NOT(ISERROR(SEARCH("Os valores estão positivos",K24)))</formula>
    </cfRule>
    <cfRule type="containsText" dxfId="127" priority="6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126" priority="1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55BC-2596-4927-8A13-1E0155CB012F}">
  <sheetPr>
    <outlinePr summaryBelow="0" summaryRight="0"/>
  </sheetPr>
  <dimension ref="B1:W90"/>
  <sheetViews>
    <sheetView zoomScaleNormal="100" workbookViewId="0">
      <selection activeCell="C16" sqref="C16:C17"/>
    </sheetView>
  </sheetViews>
  <sheetFormatPr defaultColWidth="12.5703125" defaultRowHeight="15.75" customHeight="1" x14ac:dyDescent="0.2"/>
  <cols>
    <col min="1" max="1" width="1.5703125" customWidth="1"/>
    <col min="2" max="2" width="20.42578125" bestFit="1" customWidth="1"/>
    <col min="3" max="3" width="17.28515625" bestFit="1" customWidth="1"/>
    <col min="4" max="4" width="2.42578125" customWidth="1"/>
    <col min="5" max="5" width="22.85546875" bestFit="1" customWidth="1"/>
    <col min="6" max="6" width="17.285156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13.42578125" bestFit="1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2.42578125" bestFit="1" customWidth="1"/>
    <col min="18" max="18" width="9.7109375" bestFit="1" customWidth="1"/>
    <col min="19" max="19" width="26.28515625" bestFit="1" customWidth="1"/>
    <col min="20" max="20" width="13" bestFit="1" customWidth="1"/>
    <col min="21" max="21" width="12.42578125" bestFit="1" customWidth="1"/>
    <col min="22" max="22" width="18.140625" bestFit="1" customWidth="1"/>
    <col min="23" max="23" width="9.7109375" customWidth="1"/>
    <col min="24" max="24" width="13.140625" customWidth="1"/>
    <col min="25" max="25" width="17.28515625" bestFit="1" customWidth="1"/>
    <col min="26" max="26" width="22.28515625" bestFit="1" customWidth="1"/>
    <col min="29" max="29" width="22.28515625" bestFit="1" customWidth="1"/>
  </cols>
  <sheetData>
    <row r="1" spans="2:23" ht="9" customHeight="1" x14ac:dyDescent="0.2">
      <c r="T1" s="51"/>
      <c r="U1" s="51"/>
      <c r="V1" s="51"/>
      <c r="W1" s="51"/>
    </row>
    <row r="2" spans="2:23" ht="15.75" customHeight="1" x14ac:dyDescent="0.2">
      <c r="B2" s="339" t="s">
        <v>0</v>
      </c>
      <c r="C2" s="340"/>
      <c r="D2" s="37"/>
      <c r="E2" s="98" t="s">
        <v>1</v>
      </c>
      <c r="F2" s="100" t="s">
        <v>27</v>
      </c>
      <c r="H2" s="37"/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4" t="s">
        <v>60</v>
      </c>
      <c r="Q2" s="35" t="s">
        <v>27</v>
      </c>
      <c r="R2" s="35" t="s">
        <v>36</v>
      </c>
      <c r="S2" s="35" t="s">
        <v>37</v>
      </c>
      <c r="T2" s="152" t="s">
        <v>172</v>
      </c>
      <c r="U2" s="51"/>
      <c r="V2" s="51"/>
      <c r="W2" s="52"/>
    </row>
    <row r="3" spans="2:23" ht="15.75" customHeight="1" x14ac:dyDescent="0.2">
      <c r="B3" s="1" t="s">
        <v>43</v>
      </c>
      <c r="C3" s="1">
        <v>1646.48</v>
      </c>
      <c r="D3" s="37"/>
      <c r="E3" s="97" t="s">
        <v>4</v>
      </c>
      <c r="F3" s="101">
        <v>760</v>
      </c>
      <c r="H3" s="37"/>
      <c r="I3" s="126" t="s">
        <v>3</v>
      </c>
      <c r="J3" s="125">
        <v>64.900000000000006</v>
      </c>
      <c r="K3" s="129">
        <v>45932</v>
      </c>
      <c r="M3" s="25" t="s">
        <v>2</v>
      </c>
      <c r="N3" s="26">
        <v>15</v>
      </c>
      <c r="P3" s="147" t="s">
        <v>58</v>
      </c>
      <c r="Q3" s="85">
        <v>13.7</v>
      </c>
      <c r="R3" s="5">
        <v>45905</v>
      </c>
      <c r="S3" s="8" t="s">
        <v>96</v>
      </c>
      <c r="T3" s="149"/>
      <c r="W3" s="52"/>
    </row>
    <row r="4" spans="2:23" ht="15.75" customHeight="1" x14ac:dyDescent="0.2">
      <c r="B4" s="1" t="s">
        <v>44</v>
      </c>
      <c r="C4" s="1">
        <v>2204</v>
      </c>
      <c r="D4" s="37"/>
      <c r="E4" s="97" t="s">
        <v>6</v>
      </c>
      <c r="F4" s="101">
        <v>596</v>
      </c>
      <c r="H4" s="37"/>
      <c r="I4" s="126" t="s">
        <v>5</v>
      </c>
      <c r="J4" s="125">
        <v>147</v>
      </c>
      <c r="K4" s="129">
        <v>45995</v>
      </c>
      <c r="M4" s="25" t="s">
        <v>3</v>
      </c>
      <c r="N4" s="26">
        <v>19.899999999999999</v>
      </c>
      <c r="P4" s="147" t="s">
        <v>58</v>
      </c>
      <c r="Q4" s="85">
        <v>18</v>
      </c>
      <c r="R4" s="5">
        <v>45910</v>
      </c>
      <c r="S4" s="8" t="s">
        <v>100</v>
      </c>
      <c r="T4" s="149"/>
      <c r="W4" s="52"/>
    </row>
    <row r="5" spans="2:23" ht="15.75" customHeight="1" x14ac:dyDescent="0.2">
      <c r="B5" s="1" t="s">
        <v>56</v>
      </c>
      <c r="C5" s="1">
        <v>812</v>
      </c>
      <c r="D5" s="37"/>
      <c r="E5" s="97" t="s">
        <v>9</v>
      </c>
      <c r="F5" s="101">
        <v>295</v>
      </c>
      <c r="H5" s="37"/>
      <c r="I5" s="126" t="s">
        <v>8</v>
      </c>
      <c r="J5" s="125">
        <v>39</v>
      </c>
      <c r="K5" s="129">
        <v>45935</v>
      </c>
      <c r="M5" s="25" t="s">
        <v>7</v>
      </c>
      <c r="N5" s="26">
        <v>11.8</v>
      </c>
      <c r="P5" s="147" t="s">
        <v>58</v>
      </c>
      <c r="Q5" s="85">
        <v>13.77</v>
      </c>
      <c r="R5" s="5">
        <v>45912</v>
      </c>
      <c r="S5" s="8" t="s">
        <v>96</v>
      </c>
      <c r="T5" s="149"/>
      <c r="W5" s="52"/>
    </row>
    <row r="6" spans="2:23" ht="15.75" customHeight="1" x14ac:dyDescent="0.2">
      <c r="B6" s="1" t="s">
        <v>63</v>
      </c>
      <c r="C6" s="1">
        <v>946</v>
      </c>
      <c r="D6" s="37"/>
      <c r="E6" s="97" t="s">
        <v>12</v>
      </c>
      <c r="F6" s="101">
        <v>97</v>
      </c>
      <c r="H6" s="37"/>
      <c r="I6" s="126" t="s">
        <v>25</v>
      </c>
      <c r="J6" s="125">
        <v>39.99</v>
      </c>
      <c r="K6" s="130">
        <v>45750</v>
      </c>
      <c r="M6" s="25" t="s">
        <v>10</v>
      </c>
      <c r="N6" s="26">
        <v>20</v>
      </c>
      <c r="P6" s="93" t="s">
        <v>58</v>
      </c>
      <c r="Q6" s="85">
        <v>7.98</v>
      </c>
      <c r="R6" s="5">
        <v>45913</v>
      </c>
      <c r="S6" s="8" t="s">
        <v>78</v>
      </c>
      <c r="T6" s="149"/>
      <c r="U6" s="75"/>
      <c r="V6" s="37"/>
      <c r="W6" s="52"/>
    </row>
    <row r="7" spans="2:23" ht="15.75" customHeight="1" x14ac:dyDescent="0.2">
      <c r="B7" s="343" t="s">
        <v>15</v>
      </c>
      <c r="C7" s="41">
        <v>740.73</v>
      </c>
      <c r="D7" s="37"/>
      <c r="E7" s="97" t="s">
        <v>16</v>
      </c>
      <c r="F7" s="101">
        <v>100</v>
      </c>
      <c r="H7" s="37"/>
      <c r="I7" s="126" t="s">
        <v>14</v>
      </c>
      <c r="J7" s="125">
        <v>76</v>
      </c>
      <c r="K7" s="129">
        <v>45719</v>
      </c>
      <c r="M7" s="25" t="s">
        <v>13</v>
      </c>
      <c r="N7" s="26">
        <v>19.899999999999999</v>
      </c>
      <c r="P7" s="93" t="s">
        <v>58</v>
      </c>
      <c r="Q7" s="137">
        <v>21</v>
      </c>
      <c r="R7" s="5">
        <v>45914</v>
      </c>
      <c r="S7" s="8" t="s">
        <v>142</v>
      </c>
      <c r="T7" s="149"/>
      <c r="U7" s="37"/>
      <c r="V7" s="37"/>
      <c r="W7" s="52"/>
    </row>
    <row r="8" spans="2:23" ht="15.75" customHeight="1" x14ac:dyDescent="0.2">
      <c r="B8" s="344"/>
      <c r="C8" s="41">
        <v>412</v>
      </c>
      <c r="D8" s="37"/>
      <c r="E8" s="97" t="s">
        <v>19</v>
      </c>
      <c r="F8" s="101">
        <v>60</v>
      </c>
      <c r="H8" s="37"/>
      <c r="I8" s="126" t="s">
        <v>113</v>
      </c>
      <c r="J8" s="125">
        <v>56.5</v>
      </c>
      <c r="K8" s="129">
        <v>45751</v>
      </c>
      <c r="M8" s="25" t="s">
        <v>17</v>
      </c>
      <c r="N8" s="26">
        <v>7</v>
      </c>
      <c r="P8" s="93" t="s">
        <v>58</v>
      </c>
      <c r="Q8" s="85">
        <v>65.790000000000006</v>
      </c>
      <c r="R8" s="5">
        <v>45914</v>
      </c>
      <c r="S8" s="8" t="s">
        <v>143</v>
      </c>
      <c r="T8" s="149"/>
      <c r="U8" s="37"/>
      <c r="V8" s="37"/>
      <c r="W8" s="52"/>
    </row>
    <row r="9" spans="2:23" ht="15.75" customHeight="1" x14ac:dyDescent="0.2">
      <c r="B9" s="88" t="s">
        <v>53</v>
      </c>
      <c r="C9" s="89"/>
      <c r="D9" s="37"/>
      <c r="E9" s="97" t="s">
        <v>21</v>
      </c>
      <c r="F9" s="101">
        <v>170</v>
      </c>
      <c r="H9" s="37"/>
      <c r="I9" s="126" t="s">
        <v>114</v>
      </c>
      <c r="J9" s="125">
        <v>53.3</v>
      </c>
      <c r="K9" s="129">
        <v>45719</v>
      </c>
      <c r="M9" s="31" t="s">
        <v>20</v>
      </c>
      <c r="N9" s="32">
        <f>SUM(N3:N8)</f>
        <v>93.6</v>
      </c>
      <c r="P9" s="93" t="s">
        <v>58</v>
      </c>
      <c r="Q9" s="137">
        <v>28.56</v>
      </c>
      <c r="R9" s="5">
        <v>45915</v>
      </c>
      <c r="S9" s="8" t="s">
        <v>141</v>
      </c>
      <c r="T9" s="149"/>
      <c r="U9" s="37"/>
      <c r="V9" s="37"/>
      <c r="W9" s="52"/>
    </row>
    <row r="10" spans="2:23" ht="15.75" customHeight="1" x14ac:dyDescent="0.2">
      <c r="B10" s="88" t="s">
        <v>112</v>
      </c>
      <c r="C10" s="89">
        <v>60</v>
      </c>
      <c r="D10" s="37"/>
      <c r="E10" s="97" t="s">
        <v>22</v>
      </c>
      <c r="F10" s="101">
        <v>60</v>
      </c>
      <c r="H10" s="37"/>
      <c r="I10" s="132" t="s">
        <v>20</v>
      </c>
      <c r="J10" s="133">
        <f>SUM(J3:J9)</f>
        <v>476.69</v>
      </c>
      <c r="K10" s="135" t="s">
        <v>39</v>
      </c>
      <c r="N10" s="37"/>
      <c r="O10" s="37"/>
      <c r="P10" s="93" t="s">
        <v>58</v>
      </c>
      <c r="Q10" s="85">
        <v>15</v>
      </c>
      <c r="R10" s="5">
        <v>45915</v>
      </c>
      <c r="S10" s="8" t="s">
        <v>147</v>
      </c>
      <c r="T10" s="149"/>
      <c r="U10" s="37"/>
      <c r="V10" s="37"/>
      <c r="W10" s="52"/>
    </row>
    <row r="11" spans="2:23" ht="16.5" x14ac:dyDescent="0.2">
      <c r="B11" s="88" t="s">
        <v>55</v>
      </c>
      <c r="C11" s="89"/>
      <c r="D11" s="37"/>
      <c r="E11" s="97" t="s">
        <v>23</v>
      </c>
      <c r="F11" s="101">
        <v>650</v>
      </c>
      <c r="H11" s="37"/>
      <c r="M11" s="341" t="s">
        <v>40</v>
      </c>
      <c r="N11" s="342"/>
      <c r="P11" s="36" t="s">
        <v>58</v>
      </c>
      <c r="Q11" s="85">
        <v>16.149999999999999</v>
      </c>
      <c r="R11" s="5">
        <v>45917</v>
      </c>
      <c r="S11" s="8" t="s">
        <v>150</v>
      </c>
      <c r="T11" s="149"/>
      <c r="U11" s="37"/>
      <c r="V11" s="37"/>
      <c r="W11" s="52"/>
    </row>
    <row r="12" spans="2:23" ht="16.5" x14ac:dyDescent="0.2">
      <c r="B12" s="346" t="s">
        <v>20</v>
      </c>
      <c r="C12" s="347">
        <f>SUM(C3:C9,C11)</f>
        <v>6761.2099999999991</v>
      </c>
      <c r="D12" s="37"/>
      <c r="E12" s="97" t="s">
        <v>24</v>
      </c>
      <c r="F12" s="101">
        <f>N9</f>
        <v>93.6</v>
      </c>
      <c r="H12" s="37"/>
      <c r="I12" s="69"/>
      <c r="M12" s="27" t="s">
        <v>41</v>
      </c>
      <c r="N12" s="38">
        <v>15000</v>
      </c>
      <c r="P12" s="36" t="s">
        <v>58</v>
      </c>
      <c r="Q12" s="85">
        <v>29</v>
      </c>
      <c r="R12" s="5">
        <v>45919</v>
      </c>
      <c r="S12" s="8" t="s">
        <v>152</v>
      </c>
      <c r="T12" s="149"/>
      <c r="U12" s="37"/>
      <c r="V12" s="37"/>
      <c r="W12" s="52"/>
    </row>
    <row r="13" spans="2:23" ht="16.5" x14ac:dyDescent="0.2">
      <c r="B13" s="344"/>
      <c r="C13" s="348"/>
      <c r="D13" s="37"/>
      <c r="E13" s="99" t="s">
        <v>20</v>
      </c>
      <c r="F13" s="102">
        <f>SUM(F3:F12)</f>
        <v>2881.6</v>
      </c>
      <c r="H13" s="37"/>
      <c r="M13" s="28" t="s">
        <v>42</v>
      </c>
      <c r="N13" s="39">
        <f>SUM(500+'Mês 08'!F24+F24)</f>
        <v>3100.2159999999994</v>
      </c>
      <c r="P13" s="36" t="s">
        <v>58</v>
      </c>
      <c r="Q13" s="85">
        <v>34</v>
      </c>
      <c r="R13" s="5">
        <v>45920</v>
      </c>
      <c r="S13" s="8" t="s">
        <v>102</v>
      </c>
      <c r="T13" s="149"/>
      <c r="U13" s="37"/>
      <c r="V13" s="37"/>
      <c r="W13" s="52"/>
    </row>
    <row r="14" spans="2:23" ht="16.5" x14ac:dyDescent="0.2">
      <c r="B14" s="37"/>
      <c r="C14" s="37"/>
      <c r="D14" s="37"/>
      <c r="E14" s="37"/>
      <c r="F14" s="37"/>
      <c r="H14" s="37"/>
      <c r="M14" s="29" t="s">
        <v>64</v>
      </c>
      <c r="N14" s="40">
        <f>N12-N13</f>
        <v>11899.784</v>
      </c>
      <c r="P14" s="36" t="s">
        <v>58</v>
      </c>
      <c r="Q14" s="85">
        <v>12.9</v>
      </c>
      <c r="R14" s="5">
        <v>45921</v>
      </c>
      <c r="S14" s="8" t="s">
        <v>153</v>
      </c>
      <c r="T14" s="149"/>
      <c r="U14" s="37"/>
      <c r="V14" s="37"/>
      <c r="W14" s="52"/>
    </row>
    <row r="15" spans="2:23" ht="12.75" x14ac:dyDescent="0.2">
      <c r="B15" s="43"/>
      <c r="C15" s="43"/>
      <c r="D15" s="43"/>
      <c r="E15" s="44"/>
      <c r="F15" s="70"/>
      <c r="G15" s="37"/>
      <c r="H15" s="37"/>
      <c r="N15" s="37"/>
      <c r="O15" s="37"/>
      <c r="P15" s="36" t="s">
        <v>58</v>
      </c>
      <c r="Q15" s="85">
        <v>19.97</v>
      </c>
      <c r="R15" s="5">
        <v>45923</v>
      </c>
      <c r="S15" s="8" t="s">
        <v>154</v>
      </c>
      <c r="T15" s="149"/>
      <c r="U15" s="37"/>
      <c r="V15" s="37"/>
      <c r="W15" s="52"/>
    </row>
    <row r="16" spans="2:23" ht="12.75" x14ac:dyDescent="0.2">
      <c r="B16" s="335" t="s">
        <v>20</v>
      </c>
      <c r="C16" s="337">
        <f>C12-F13-J10</f>
        <v>3402.9199999999992</v>
      </c>
      <c r="D16" s="43"/>
      <c r="E16" s="71"/>
      <c r="F16" s="72"/>
      <c r="G16" s="44"/>
      <c r="H16" s="44"/>
      <c r="N16" s="37"/>
      <c r="O16" s="37"/>
      <c r="P16" s="93" t="s">
        <v>59</v>
      </c>
      <c r="Q16" s="85">
        <v>59.04</v>
      </c>
      <c r="R16" s="5">
        <v>45901</v>
      </c>
      <c r="S16" s="8" t="s">
        <v>126</v>
      </c>
      <c r="T16" s="149"/>
      <c r="U16" s="37"/>
      <c r="V16" s="37"/>
      <c r="W16" s="52"/>
    </row>
    <row r="17" spans="2:23" ht="12.75" x14ac:dyDescent="0.2">
      <c r="B17" s="336"/>
      <c r="C17" s="336"/>
      <c r="D17" s="43"/>
      <c r="E17" s="70"/>
      <c r="F17" s="69"/>
      <c r="G17" s="44"/>
      <c r="H17" s="44"/>
      <c r="N17" s="37"/>
      <c r="P17" s="93" t="s">
        <v>59</v>
      </c>
      <c r="Q17" s="85">
        <v>40</v>
      </c>
      <c r="R17" s="136">
        <v>45905</v>
      </c>
      <c r="S17" s="8" t="s">
        <v>128</v>
      </c>
      <c r="T17" s="149"/>
      <c r="U17" s="37"/>
      <c r="V17" s="37"/>
      <c r="W17" s="52"/>
    </row>
    <row r="18" spans="2:23" ht="12.75" customHeight="1" x14ac:dyDescent="0.2">
      <c r="B18" s="43"/>
      <c r="C18" s="43"/>
      <c r="D18" s="43"/>
      <c r="F18" s="69"/>
      <c r="I18" s="51"/>
      <c r="J18" s="51"/>
      <c r="K18" s="51"/>
      <c r="L18" s="37"/>
      <c r="M18" s="37"/>
      <c r="N18" s="37"/>
      <c r="P18" s="93" t="s">
        <v>59</v>
      </c>
      <c r="Q18" s="85">
        <v>25.4</v>
      </c>
      <c r="R18" s="5">
        <v>45908</v>
      </c>
      <c r="S18" s="8" t="s">
        <v>136</v>
      </c>
      <c r="T18" s="149"/>
      <c r="U18" s="37"/>
      <c r="V18" s="37"/>
      <c r="W18" s="52"/>
    </row>
    <row r="19" spans="2:23" ht="12.75" x14ac:dyDescent="0.2">
      <c r="J19" s="37"/>
      <c r="K19" s="37"/>
      <c r="L19" s="37"/>
      <c r="M19" s="37"/>
      <c r="N19" s="37"/>
      <c r="P19" s="93" t="s">
        <v>59</v>
      </c>
      <c r="Q19" s="85">
        <v>9</v>
      </c>
      <c r="R19" s="5">
        <v>45912</v>
      </c>
      <c r="S19" s="8" t="s">
        <v>133</v>
      </c>
      <c r="T19" s="149"/>
      <c r="U19" s="37"/>
      <c r="V19" s="37"/>
      <c r="W19" s="52"/>
    </row>
    <row r="20" spans="2:23" ht="12.75" x14ac:dyDescent="0.2">
      <c r="B20" s="37"/>
      <c r="C20" s="37"/>
      <c r="D20" s="37"/>
      <c r="J20" s="37"/>
      <c r="K20" s="37"/>
      <c r="L20" s="37"/>
      <c r="M20" s="37"/>
      <c r="N20" s="37"/>
      <c r="P20" s="93" t="s">
        <v>59</v>
      </c>
      <c r="Q20" s="85">
        <v>5</v>
      </c>
      <c r="R20" s="5">
        <v>45914</v>
      </c>
      <c r="S20" s="8" t="s">
        <v>144</v>
      </c>
      <c r="T20" s="149"/>
    </row>
    <row r="21" spans="2:23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93" t="s">
        <v>59</v>
      </c>
      <c r="Q21" s="138">
        <v>28.56</v>
      </c>
      <c r="R21" s="5">
        <v>45915</v>
      </c>
      <c r="S21" s="8" t="s">
        <v>141</v>
      </c>
      <c r="T21" s="149"/>
    </row>
    <row r="22" spans="2:23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79">
        <f>SUMIFS(Q3:Q90,P3:P90,"Casa")</f>
        <v>0</v>
      </c>
      <c r="K22" s="345" t="str">
        <f>IF(J28&gt;=200,"ATENÇÃO AO GASTO EXTRA R$ " &amp; SUM(J28), "GASTO COM EXTRA OK !")</f>
        <v>ATENÇÃO AO GASTO EXTRA R$ 772,01</v>
      </c>
      <c r="L22" s="345"/>
      <c r="M22" s="345"/>
      <c r="N22" s="345"/>
      <c r="P22" s="93" t="s">
        <v>59</v>
      </c>
      <c r="Q22" s="85">
        <v>64.22</v>
      </c>
      <c r="R22" s="5">
        <v>45915</v>
      </c>
      <c r="S22" s="8" t="s">
        <v>145</v>
      </c>
      <c r="T22" s="149"/>
    </row>
    <row r="23" spans="2:23" ht="15.75" customHeight="1" x14ac:dyDescent="0.2">
      <c r="B23" s="3" t="s">
        <v>31</v>
      </c>
      <c r="C23" s="46">
        <f>C16*40%</f>
        <v>1361.1679999999997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79">
        <f>SUMIFS(Q3:Q90,P3:P90,"Lazer")</f>
        <v>384.47999999999996</v>
      </c>
      <c r="K23" s="345"/>
      <c r="L23" s="345"/>
      <c r="M23" s="345"/>
      <c r="N23" s="345"/>
      <c r="P23" s="36" t="s">
        <v>59</v>
      </c>
      <c r="Q23" s="85">
        <v>14.99</v>
      </c>
      <c r="R23" s="5">
        <v>45915</v>
      </c>
      <c r="S23" s="8" t="s">
        <v>146</v>
      </c>
      <c r="T23" s="149"/>
    </row>
    <row r="24" spans="2:23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f>C23</f>
        <v>1361.1679999999997</v>
      </c>
      <c r="G24" s="134">
        <f>SUM(Tabela61516612[[#This Row],[Valores]]+Tabela615166[[#This Row],[Valores]])</f>
        <v>2600.2159999999994</v>
      </c>
      <c r="H24" s="2"/>
      <c r="I24" s="6" t="s">
        <v>34</v>
      </c>
      <c r="J24" s="79">
        <f>SUMIFS(Q3:Q90,P3:P90,"Roupas")</f>
        <v>0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36" t="s">
        <v>59</v>
      </c>
      <c r="Q24" s="85">
        <v>11.5</v>
      </c>
      <c r="R24" s="5">
        <v>45917</v>
      </c>
      <c r="S24" s="8" t="s">
        <v>99</v>
      </c>
      <c r="T24" s="149"/>
    </row>
    <row r="25" spans="2:23" ht="15.75" customHeight="1" x14ac:dyDescent="0.2">
      <c r="B25" s="3" t="s">
        <v>33</v>
      </c>
      <c r="C25" s="46">
        <v>400</v>
      </c>
      <c r="D25" s="43"/>
      <c r="E25" s="54" t="s">
        <v>32</v>
      </c>
      <c r="F25" s="55">
        <f>C24-J22</f>
        <v>200</v>
      </c>
      <c r="G25" s="134">
        <f>SUM(Tabela61516612[[#This Row],[Valores]]+Tabela615166[[#This Row],[Valores]])</f>
        <v>365</v>
      </c>
      <c r="H25" s="2"/>
      <c r="I25" s="6" t="s">
        <v>19</v>
      </c>
      <c r="J25" s="79">
        <f>SUMIFS(Q3:Q90,P3:P90,"Nesco")</f>
        <v>54.6</v>
      </c>
      <c r="K25" s="334"/>
      <c r="L25" s="334"/>
      <c r="M25" s="334"/>
      <c r="N25" s="334"/>
      <c r="P25" s="36" t="s">
        <v>59</v>
      </c>
      <c r="Q25" s="85">
        <v>8.98</v>
      </c>
      <c r="R25" s="5">
        <v>45918</v>
      </c>
      <c r="S25" s="8" t="s">
        <v>151</v>
      </c>
      <c r="T25" s="149"/>
    </row>
    <row r="26" spans="2:23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</f>
        <v>15.520000000000039</v>
      </c>
      <c r="G26" s="134">
        <f>SUM(Tabela61516612[[#This Row],[Valores]]+Tabela615166[[#This Row],[Valores]])</f>
        <v>15.530000000000038</v>
      </c>
      <c r="H26" s="2"/>
      <c r="I26" s="6" t="s">
        <v>21</v>
      </c>
      <c r="J26" s="79">
        <f>SUMIFS(Q3:Q90,P3:P90,"Gasolina / Óleo")</f>
        <v>180.8</v>
      </c>
      <c r="P26" s="36" t="s">
        <v>59</v>
      </c>
      <c r="Q26" s="85">
        <v>15</v>
      </c>
      <c r="R26" s="5">
        <v>45919</v>
      </c>
      <c r="S26" s="8" t="s">
        <v>149</v>
      </c>
      <c r="T26" s="149"/>
    </row>
    <row r="27" spans="2:23" ht="15.75" customHeight="1" x14ac:dyDescent="0.2">
      <c r="B27" s="13" t="s">
        <v>35</v>
      </c>
      <c r="C27" s="46">
        <f>C16-SUM(C23:C26)-SUM(C31:C32)+60</f>
        <v>701.7519999999995</v>
      </c>
      <c r="D27" s="43"/>
      <c r="E27" s="54" t="s">
        <v>34</v>
      </c>
      <c r="F27" s="55">
        <f>C26-J24</f>
        <v>200</v>
      </c>
      <c r="G27" s="134">
        <f>SUM(Tabela61516612[[#This Row],[Valores]]+Tabela615166[[#This Row],[Valores]])</f>
        <v>400</v>
      </c>
      <c r="H27" s="2"/>
      <c r="I27" s="6" t="s">
        <v>50</v>
      </c>
      <c r="J27" s="79">
        <f>SUMIFS(Q3:Q90,P3:P90,"Compras do Mês")</f>
        <v>669.24999999999989</v>
      </c>
      <c r="P27" s="36" t="s">
        <v>59</v>
      </c>
      <c r="Q27" s="85">
        <v>14.99</v>
      </c>
      <c r="R27" s="5">
        <v>45919</v>
      </c>
      <c r="S27" s="8" t="s">
        <v>100</v>
      </c>
      <c r="T27" s="149"/>
    </row>
    <row r="28" spans="2:23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3.3199999999999363</v>
      </c>
      <c r="G28" s="134">
        <f>SUM(Tabela61516612[[#This Row],[Valores]]+Tabela615166[[#This Row],[Valores]])</f>
        <v>5.2799999999999443</v>
      </c>
      <c r="H28" s="2"/>
      <c r="I28" s="6" t="s">
        <v>35</v>
      </c>
      <c r="J28" s="79">
        <f>SUMIFS(Q3:Q90,P3:P90,"Extras")</f>
        <v>772.01</v>
      </c>
      <c r="P28" s="36" t="s">
        <v>50</v>
      </c>
      <c r="Q28" s="85">
        <v>341.89</v>
      </c>
      <c r="R28" s="5">
        <v>45899</v>
      </c>
      <c r="S28" s="8" t="s">
        <v>116</v>
      </c>
      <c r="T28" s="149"/>
    </row>
    <row r="29" spans="2:23" ht="15.75" customHeight="1" x14ac:dyDescent="0.2">
      <c r="B29" s="12" t="s">
        <v>21</v>
      </c>
      <c r="C29" s="48">
        <v>170</v>
      </c>
      <c r="D29" s="43"/>
      <c r="E29" s="56" t="s">
        <v>58</v>
      </c>
      <c r="F29" s="57">
        <f>C32-J30</f>
        <v>4.17999999999995</v>
      </c>
      <c r="G29" s="134">
        <f>SUM(Tabela61516612[[#This Row],[Valores]]+Tabela615166[[#This Row],[Valores]])</f>
        <v>5.5199999999999534</v>
      </c>
      <c r="H29" s="2"/>
      <c r="I29" s="6" t="s">
        <v>59</v>
      </c>
      <c r="J29" s="81">
        <f>SUMIFS(Q3:Q90,P3:P90,"Bobeirinhas V")</f>
        <v>296.68000000000006</v>
      </c>
      <c r="P29" s="36" t="s">
        <v>50</v>
      </c>
      <c r="Q29" s="85">
        <v>30</v>
      </c>
      <c r="R29" s="5">
        <v>45899</v>
      </c>
      <c r="S29" s="8" t="s">
        <v>117</v>
      </c>
      <c r="T29" s="149"/>
    </row>
    <row r="30" spans="2:23" ht="15.75" customHeight="1" x14ac:dyDescent="0.2">
      <c r="B30" s="13" t="s">
        <v>50</v>
      </c>
      <c r="C30" s="47">
        <v>650</v>
      </c>
      <c r="D30" s="43"/>
      <c r="E30" s="58" t="s">
        <v>35</v>
      </c>
      <c r="F30" s="59">
        <f>C27-J28</f>
        <v>-70.258000000000493</v>
      </c>
      <c r="G30" s="134">
        <f>SUM(Tabela61516612[[#This Row],[Valores]]+Tabela615166[[#This Row],[Valores]])</f>
        <v>151.17399999999907</v>
      </c>
      <c r="H30" s="2"/>
      <c r="I30" s="9" t="s">
        <v>58</v>
      </c>
      <c r="J30" s="80">
        <f>SUMIFS(Q3:Q90,P3:P90,"Bobeirinhas J")</f>
        <v>295.82000000000005</v>
      </c>
      <c r="P30" s="93" t="s">
        <v>50</v>
      </c>
      <c r="Q30" s="85">
        <v>58.52</v>
      </c>
      <c r="R30" s="5">
        <v>45903</v>
      </c>
      <c r="S30" s="8" t="s">
        <v>125</v>
      </c>
      <c r="T30" s="149"/>
    </row>
    <row r="31" spans="2:23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5.3999999999999986</v>
      </c>
      <c r="G31" s="134">
        <f>SUM(Tabela61516612[[#This Row],[Valores]]+Tabela615166[[#This Row],[Valores]])</f>
        <v>17.600000000000001</v>
      </c>
      <c r="H31" s="2"/>
      <c r="J31" s="96"/>
      <c r="N31" s="144"/>
      <c r="P31" s="93" t="s">
        <v>50</v>
      </c>
      <c r="Q31" s="85">
        <v>47</v>
      </c>
      <c r="R31" s="5">
        <v>45908</v>
      </c>
      <c r="S31" s="8" t="s">
        <v>139</v>
      </c>
      <c r="T31" s="149"/>
    </row>
    <row r="32" spans="2:23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-10.800000000000011</v>
      </c>
      <c r="G32" s="134">
        <f>Tabela61516612[[#This Row],[Valores]]</f>
        <v>-10.800000000000011</v>
      </c>
      <c r="H32" s="2"/>
      <c r="J32" s="37"/>
      <c r="P32" s="93" t="s">
        <v>50</v>
      </c>
      <c r="Q32" s="85">
        <v>46.53</v>
      </c>
      <c r="R32" s="5">
        <v>45911</v>
      </c>
      <c r="S32" s="8" t="s">
        <v>138</v>
      </c>
      <c r="T32" s="149"/>
    </row>
    <row r="33" spans="2:23" ht="15.75" customHeight="1" x14ac:dyDescent="0.2">
      <c r="B33" s="73"/>
      <c r="C33" s="74"/>
      <c r="D33" s="43"/>
      <c r="E33" s="58" t="s">
        <v>50</v>
      </c>
      <c r="F33" s="61">
        <f>C30-J27</f>
        <v>-19.249999999999886</v>
      </c>
      <c r="G33" s="134">
        <f>Tabela61516612[[#This Row],[Valores]]</f>
        <v>-19.249999999999886</v>
      </c>
      <c r="H33" s="2"/>
      <c r="J33" s="37"/>
      <c r="K33" s="69"/>
      <c r="M33" s="109" t="s">
        <v>169</v>
      </c>
      <c r="N33" s="69">
        <f>2870-2394+50+8.8+40+72.37</f>
        <v>647.16999999999996</v>
      </c>
      <c r="P33" s="93" t="s">
        <v>50</v>
      </c>
      <c r="Q33" s="85">
        <v>11.48</v>
      </c>
      <c r="R33" s="5">
        <v>45912</v>
      </c>
      <c r="S33" s="8" t="s">
        <v>134</v>
      </c>
      <c r="T33" s="149"/>
    </row>
    <row r="34" spans="2:23" ht="15.75" customHeight="1" x14ac:dyDescent="0.2">
      <c r="B34" s="44"/>
      <c r="C34" s="44"/>
      <c r="D34" s="43"/>
      <c r="E34" s="43"/>
      <c r="F34" s="43"/>
      <c r="G34" s="43"/>
      <c r="H34" s="2"/>
      <c r="I34" s="69"/>
      <c r="J34" s="37"/>
      <c r="K34" s="145">
        <f>G25+G26+G27+G28+G29+G31+G32+G33+G30+F30</f>
        <v>859.79599999999857</v>
      </c>
      <c r="L34" s="96"/>
      <c r="M34" t="s">
        <v>170</v>
      </c>
      <c r="N34">
        <v>215</v>
      </c>
      <c r="P34" s="93" t="s">
        <v>50</v>
      </c>
      <c r="Q34" s="85">
        <v>12.78</v>
      </c>
      <c r="R34" s="5">
        <v>45913</v>
      </c>
      <c r="S34" s="8" t="s">
        <v>132</v>
      </c>
      <c r="T34" s="149"/>
    </row>
    <row r="35" spans="2:23" ht="15.75" customHeight="1" x14ac:dyDescent="0.2">
      <c r="B35" s="37"/>
      <c r="C35" s="37"/>
      <c r="D35" s="37"/>
      <c r="E35" s="76" t="s">
        <v>79</v>
      </c>
      <c r="F35" s="77">
        <f>SUM(F24:F30)</f>
        <v>1713.9299999999992</v>
      </c>
      <c r="G35" s="70"/>
      <c r="J35" s="37"/>
      <c r="K35" s="69"/>
      <c r="L35" s="69"/>
      <c r="N35" s="146">
        <f>N33+N34</f>
        <v>862.17</v>
      </c>
      <c r="P35" s="36" t="s">
        <v>50</v>
      </c>
      <c r="Q35" s="85">
        <v>121.05</v>
      </c>
      <c r="R35" s="5">
        <v>45915</v>
      </c>
      <c r="S35" s="8" t="s">
        <v>138</v>
      </c>
      <c r="T35" s="149"/>
    </row>
    <row r="36" spans="2:23" ht="15.75" customHeight="1" x14ac:dyDescent="0.2">
      <c r="C36" s="69"/>
      <c r="F36" s="69"/>
      <c r="P36" s="36" t="s">
        <v>35</v>
      </c>
      <c r="Q36" s="85">
        <v>66.5</v>
      </c>
      <c r="R36" s="5">
        <v>45899</v>
      </c>
      <c r="S36" s="8" t="s">
        <v>115</v>
      </c>
      <c r="T36" s="149"/>
    </row>
    <row r="37" spans="2:23" ht="12.75" x14ac:dyDescent="0.2">
      <c r="F37" s="109"/>
      <c r="P37" s="93" t="s">
        <v>35</v>
      </c>
      <c r="Q37" s="85">
        <v>60</v>
      </c>
      <c r="R37" s="5">
        <v>45905</v>
      </c>
      <c r="S37" s="8" t="s">
        <v>127</v>
      </c>
      <c r="T37" s="149"/>
    </row>
    <row r="38" spans="2:23" ht="13.5" customHeight="1" x14ac:dyDescent="0.2">
      <c r="P38" s="93" t="s">
        <v>35</v>
      </c>
      <c r="Q38" s="85">
        <v>13.95</v>
      </c>
      <c r="R38" s="5">
        <v>45908</v>
      </c>
      <c r="S38" s="8" t="s">
        <v>52</v>
      </c>
      <c r="T38" s="149"/>
    </row>
    <row r="39" spans="2:23" ht="15.75" customHeight="1" x14ac:dyDescent="0.2">
      <c r="P39" s="93" t="s">
        <v>35</v>
      </c>
      <c r="Q39" s="85">
        <v>24</v>
      </c>
      <c r="R39" s="5">
        <v>45909</v>
      </c>
      <c r="S39" s="8" t="s">
        <v>135</v>
      </c>
      <c r="T39" s="149"/>
    </row>
    <row r="40" spans="2:23" ht="15.75" customHeight="1" x14ac:dyDescent="0.2">
      <c r="L40" s="143">
        <f>L35-M38</f>
        <v>0</v>
      </c>
      <c r="P40" s="93" t="s">
        <v>35</v>
      </c>
      <c r="Q40" s="85">
        <v>30.88</v>
      </c>
      <c r="R40" s="5">
        <v>45910</v>
      </c>
      <c r="S40" s="8" t="s">
        <v>137</v>
      </c>
      <c r="T40" s="149"/>
    </row>
    <row r="41" spans="2:23" ht="15.75" customHeight="1" x14ac:dyDescent="0.2">
      <c r="N41" s="69"/>
      <c r="P41" s="93" t="s">
        <v>35</v>
      </c>
      <c r="Q41" s="85">
        <v>7.92</v>
      </c>
      <c r="R41" s="5">
        <v>45911</v>
      </c>
      <c r="S41" s="8" t="s">
        <v>52</v>
      </c>
      <c r="T41" s="149"/>
    </row>
    <row r="42" spans="2:23" ht="15.75" customHeight="1" x14ac:dyDescent="0.2">
      <c r="P42" s="93" t="s">
        <v>35</v>
      </c>
      <c r="Q42" s="86">
        <v>13.3</v>
      </c>
      <c r="R42" s="50">
        <v>45914</v>
      </c>
      <c r="S42" s="10" t="s">
        <v>16</v>
      </c>
      <c r="T42" s="149"/>
    </row>
    <row r="43" spans="2:23" ht="15.75" customHeight="1" x14ac:dyDescent="0.2">
      <c r="P43" s="93" t="s">
        <v>35</v>
      </c>
      <c r="Q43" s="86">
        <v>0</v>
      </c>
      <c r="R43" s="50">
        <v>45914</v>
      </c>
      <c r="S43" s="10" t="s">
        <v>140</v>
      </c>
      <c r="T43" s="149"/>
    </row>
    <row r="44" spans="2:23" ht="15.75" customHeight="1" x14ac:dyDescent="0.2">
      <c r="P44" s="36" t="s">
        <v>35</v>
      </c>
      <c r="Q44" s="86">
        <v>35.229999999999997</v>
      </c>
      <c r="R44" s="50">
        <v>45916</v>
      </c>
      <c r="S44" s="10" t="s">
        <v>148</v>
      </c>
      <c r="T44" s="149"/>
    </row>
    <row r="45" spans="2:23" ht="15.75" customHeight="1" x14ac:dyDescent="0.2">
      <c r="P45" s="9" t="s">
        <v>35</v>
      </c>
      <c r="Q45" s="86">
        <v>6.75</v>
      </c>
      <c r="R45" s="50">
        <v>45919</v>
      </c>
      <c r="S45" s="10" t="s">
        <v>52</v>
      </c>
      <c r="T45" s="149"/>
    </row>
    <row r="46" spans="2:23" ht="15.75" customHeight="1" x14ac:dyDescent="0.2">
      <c r="P46" s="9" t="s">
        <v>35</v>
      </c>
      <c r="Q46" s="86">
        <v>29</v>
      </c>
      <c r="R46" s="50">
        <v>45919</v>
      </c>
      <c r="S46" s="10" t="s">
        <v>152</v>
      </c>
      <c r="T46" s="149"/>
    </row>
    <row r="47" spans="2:23" ht="15.75" customHeight="1" x14ac:dyDescent="0.2">
      <c r="P47" s="36" t="s">
        <v>35</v>
      </c>
      <c r="Q47" s="86">
        <v>143.16999999999999</v>
      </c>
      <c r="R47" s="50">
        <v>45922</v>
      </c>
      <c r="S47" s="10" t="s">
        <v>138</v>
      </c>
      <c r="T47" s="149"/>
    </row>
    <row r="48" spans="2:23" ht="15.75" customHeight="1" x14ac:dyDescent="0.2">
      <c r="P48" s="9" t="s">
        <v>35</v>
      </c>
      <c r="Q48" s="86">
        <v>25.41</v>
      </c>
      <c r="R48" s="50">
        <v>45922</v>
      </c>
      <c r="S48" s="10" t="s">
        <v>89</v>
      </c>
      <c r="T48" s="149"/>
      <c r="W48" s="51"/>
    </row>
    <row r="49" spans="13:23" ht="15" customHeight="1" x14ac:dyDescent="0.2">
      <c r="N49" s="96"/>
      <c r="P49" s="9" t="s">
        <v>35</v>
      </c>
      <c r="Q49" s="86">
        <v>10.92</v>
      </c>
      <c r="R49" s="50">
        <v>45922</v>
      </c>
      <c r="S49" s="10" t="s">
        <v>52</v>
      </c>
      <c r="T49" s="150"/>
      <c r="U49" s="51"/>
      <c r="V49" s="51"/>
      <c r="W49" s="51"/>
    </row>
    <row r="50" spans="13:23" ht="15.75" customHeight="1" x14ac:dyDescent="0.2">
      <c r="O50" s="96"/>
      <c r="P50" s="9" t="s">
        <v>35</v>
      </c>
      <c r="Q50" s="86">
        <v>11.92</v>
      </c>
      <c r="R50" s="50">
        <v>45922</v>
      </c>
      <c r="S50" s="10" t="s">
        <v>52</v>
      </c>
      <c r="T50" s="149"/>
    </row>
    <row r="51" spans="13:23" ht="15.75" customHeight="1" x14ac:dyDescent="0.2">
      <c r="P51" s="9" t="s">
        <v>35</v>
      </c>
      <c r="Q51" s="86">
        <v>45.19</v>
      </c>
      <c r="R51" s="50">
        <v>45922</v>
      </c>
      <c r="S51" s="10" t="s">
        <v>157</v>
      </c>
      <c r="T51" s="151"/>
    </row>
    <row r="52" spans="13:23" ht="15.75" customHeight="1" x14ac:dyDescent="0.2">
      <c r="P52" s="9" t="s">
        <v>35</v>
      </c>
      <c r="Q52" s="86">
        <v>16</v>
      </c>
      <c r="R52" s="50">
        <v>45922</v>
      </c>
      <c r="S52" s="10" t="s">
        <v>160</v>
      </c>
      <c r="T52" s="149"/>
    </row>
    <row r="53" spans="13:23" ht="15.75" customHeight="1" x14ac:dyDescent="0.2">
      <c r="P53" s="9" t="s">
        <v>35</v>
      </c>
      <c r="Q53" s="86">
        <v>30</v>
      </c>
      <c r="R53" s="50">
        <v>45923</v>
      </c>
      <c r="S53" s="10" t="s">
        <v>105</v>
      </c>
      <c r="T53" s="149"/>
    </row>
    <row r="54" spans="13:23" ht="15.75" customHeight="1" x14ac:dyDescent="0.2">
      <c r="P54" s="9" t="s">
        <v>35</v>
      </c>
      <c r="Q54" s="86">
        <v>17</v>
      </c>
      <c r="R54" s="50">
        <v>45924</v>
      </c>
      <c r="S54" s="10" t="s">
        <v>161</v>
      </c>
      <c r="T54" s="149"/>
    </row>
    <row r="55" spans="13:23" ht="15.75" customHeight="1" x14ac:dyDescent="0.2">
      <c r="P55" s="9" t="s">
        <v>35</v>
      </c>
      <c r="Q55" s="86">
        <v>14.99</v>
      </c>
      <c r="R55" s="50">
        <v>45924</v>
      </c>
      <c r="S55" s="10" t="s">
        <v>100</v>
      </c>
      <c r="T55" s="149"/>
    </row>
    <row r="56" spans="13:23" ht="15.75" customHeight="1" x14ac:dyDescent="0.2">
      <c r="P56" s="9" t="s">
        <v>35</v>
      </c>
      <c r="Q56" s="86">
        <v>19</v>
      </c>
      <c r="R56" s="50">
        <v>45925</v>
      </c>
      <c r="S56" s="10" t="s">
        <v>156</v>
      </c>
      <c r="T56" s="149"/>
    </row>
    <row r="57" spans="13:23" ht="15.75" customHeight="1" x14ac:dyDescent="0.2">
      <c r="P57" s="9" t="s">
        <v>35</v>
      </c>
      <c r="Q57" s="86">
        <v>16</v>
      </c>
      <c r="R57" s="50">
        <v>45925</v>
      </c>
      <c r="S57" s="10" t="s">
        <v>158</v>
      </c>
      <c r="T57" s="149"/>
    </row>
    <row r="58" spans="13:23" ht="15.75" customHeight="1" x14ac:dyDescent="0.2">
      <c r="P58" s="9" t="s">
        <v>35</v>
      </c>
      <c r="Q58" s="86">
        <v>0</v>
      </c>
      <c r="R58" s="50">
        <v>45926</v>
      </c>
      <c r="S58" s="10" t="s">
        <v>159</v>
      </c>
      <c r="T58" s="149"/>
    </row>
    <row r="59" spans="13:23" ht="15.75" customHeight="1" x14ac:dyDescent="0.2">
      <c r="P59" s="9" t="s">
        <v>35</v>
      </c>
      <c r="Q59" s="86">
        <v>16.98</v>
      </c>
      <c r="R59" s="50">
        <v>45926</v>
      </c>
      <c r="S59" s="10" t="s">
        <v>78</v>
      </c>
      <c r="T59" s="149"/>
    </row>
    <row r="60" spans="13:23" ht="15.75" customHeight="1" x14ac:dyDescent="0.2">
      <c r="P60" s="9" t="s">
        <v>35</v>
      </c>
      <c r="Q60" s="86">
        <v>14.87</v>
      </c>
      <c r="R60" s="50">
        <v>45929</v>
      </c>
      <c r="S60" s="10" t="s">
        <v>164</v>
      </c>
      <c r="T60" s="149"/>
    </row>
    <row r="61" spans="13:23" ht="15.75" customHeight="1" x14ac:dyDescent="0.2">
      <c r="P61" s="9" t="s">
        <v>35</v>
      </c>
      <c r="Q61" s="86">
        <v>16.8</v>
      </c>
      <c r="R61" s="50">
        <v>45929</v>
      </c>
      <c r="S61" s="10" t="s">
        <v>165</v>
      </c>
      <c r="T61" s="149"/>
    </row>
    <row r="62" spans="13:23" ht="15.75" customHeight="1" x14ac:dyDescent="0.2">
      <c r="P62" s="9" t="s">
        <v>35</v>
      </c>
      <c r="Q62" s="86">
        <v>25.77</v>
      </c>
      <c r="R62" s="50">
        <v>45929</v>
      </c>
      <c r="S62" s="10" t="s">
        <v>166</v>
      </c>
      <c r="T62" s="149"/>
    </row>
    <row r="63" spans="13:23" ht="15.75" customHeight="1" x14ac:dyDescent="0.2">
      <c r="M63" t="s">
        <v>39</v>
      </c>
      <c r="O63" t="s">
        <v>39</v>
      </c>
      <c r="P63" s="9" t="s">
        <v>35</v>
      </c>
      <c r="Q63" s="86">
        <v>36</v>
      </c>
      <c r="R63" s="50">
        <v>45929</v>
      </c>
      <c r="S63" s="10" t="s">
        <v>168</v>
      </c>
      <c r="T63" s="149"/>
    </row>
    <row r="64" spans="13:23" ht="15.75" customHeight="1" x14ac:dyDescent="0.2">
      <c r="P64" s="9" t="s">
        <v>35</v>
      </c>
      <c r="Q64" s="86">
        <v>0</v>
      </c>
      <c r="R64" s="50">
        <v>45930</v>
      </c>
      <c r="S64" s="10" t="s">
        <v>162</v>
      </c>
      <c r="T64" s="149"/>
    </row>
    <row r="65" spans="16:20" ht="15.75" customHeight="1" x14ac:dyDescent="0.2">
      <c r="P65" s="9" t="s">
        <v>35</v>
      </c>
      <c r="Q65" s="86">
        <v>7.98</v>
      </c>
      <c r="R65" s="50">
        <v>45930</v>
      </c>
      <c r="S65" s="10" t="s">
        <v>163</v>
      </c>
      <c r="T65" s="149"/>
    </row>
    <row r="66" spans="16:20" ht="15.75" customHeight="1" x14ac:dyDescent="0.2">
      <c r="P66" s="9" t="s">
        <v>35</v>
      </c>
      <c r="Q66" s="86">
        <v>16.48</v>
      </c>
      <c r="R66" s="50">
        <v>45930</v>
      </c>
      <c r="S66" s="10" t="s">
        <v>100</v>
      </c>
      <c r="T66" s="149"/>
    </row>
    <row r="67" spans="16:20" ht="15.75" customHeight="1" x14ac:dyDescent="0.2">
      <c r="P67" s="82" t="s">
        <v>21</v>
      </c>
      <c r="Q67" s="86">
        <v>67.36</v>
      </c>
      <c r="R67" s="110">
        <v>45906</v>
      </c>
      <c r="S67" s="10" t="s">
        <v>67</v>
      </c>
      <c r="T67" s="149"/>
    </row>
    <row r="68" spans="16:20" ht="15.75" customHeight="1" x14ac:dyDescent="0.2">
      <c r="P68" s="82" t="s">
        <v>21</v>
      </c>
      <c r="Q68" s="86">
        <v>58.81</v>
      </c>
      <c r="R68" s="110">
        <v>45906</v>
      </c>
      <c r="S68" s="10" t="s">
        <v>130</v>
      </c>
      <c r="T68" s="149"/>
    </row>
    <row r="69" spans="16:20" ht="15.75" customHeight="1" x14ac:dyDescent="0.2">
      <c r="P69" s="82" t="s">
        <v>21</v>
      </c>
      <c r="Q69" s="142">
        <v>54.63</v>
      </c>
      <c r="R69" s="50">
        <v>45915</v>
      </c>
      <c r="S69" s="10" t="s">
        <v>67</v>
      </c>
      <c r="T69" s="149"/>
    </row>
    <row r="70" spans="16:20" ht="15.75" customHeight="1" x14ac:dyDescent="0.2">
      <c r="P70" s="82" t="s">
        <v>33</v>
      </c>
      <c r="Q70" s="86">
        <v>16</v>
      </c>
      <c r="R70" s="50">
        <v>45899</v>
      </c>
      <c r="S70" s="10" t="s">
        <v>118</v>
      </c>
      <c r="T70" s="149"/>
    </row>
    <row r="71" spans="16:20" ht="15.75" customHeight="1" x14ac:dyDescent="0.2">
      <c r="P71" s="82" t="s">
        <v>33</v>
      </c>
      <c r="Q71" s="86">
        <v>5.99</v>
      </c>
      <c r="R71" s="50">
        <v>45899</v>
      </c>
      <c r="S71" s="10" t="s">
        <v>119</v>
      </c>
      <c r="T71" s="149"/>
    </row>
    <row r="72" spans="16:20" ht="15.75" customHeight="1" x14ac:dyDescent="0.2">
      <c r="P72" s="82" t="s">
        <v>33</v>
      </c>
      <c r="Q72" s="86">
        <v>41.9</v>
      </c>
      <c r="R72" s="50">
        <v>45899</v>
      </c>
      <c r="S72" s="10" t="s">
        <v>120</v>
      </c>
      <c r="T72" s="149"/>
    </row>
    <row r="73" spans="16:20" ht="15.75" customHeight="1" x14ac:dyDescent="0.2">
      <c r="P73" s="82" t="s">
        <v>33</v>
      </c>
      <c r="Q73" s="86">
        <v>28.9</v>
      </c>
      <c r="R73" s="50">
        <v>45899</v>
      </c>
      <c r="S73" s="10" t="s">
        <v>121</v>
      </c>
      <c r="T73" s="149"/>
    </row>
    <row r="74" spans="16:20" ht="15.75" customHeight="1" x14ac:dyDescent="0.2">
      <c r="P74" s="82" t="s">
        <v>33</v>
      </c>
      <c r="Q74" s="86">
        <v>24.5</v>
      </c>
      <c r="R74" s="50">
        <v>45899</v>
      </c>
      <c r="S74" s="10" t="s">
        <v>48</v>
      </c>
      <c r="T74" s="149"/>
    </row>
    <row r="75" spans="16:20" ht="15.75" customHeight="1" x14ac:dyDescent="0.2">
      <c r="P75" s="148" t="s">
        <v>33</v>
      </c>
      <c r="Q75" s="86">
        <v>5</v>
      </c>
      <c r="R75" s="50">
        <v>45899</v>
      </c>
      <c r="S75" s="10" t="s">
        <v>122</v>
      </c>
      <c r="T75" s="149"/>
    </row>
    <row r="76" spans="16:20" ht="15.75" customHeight="1" x14ac:dyDescent="0.2">
      <c r="P76" s="82" t="s">
        <v>33</v>
      </c>
      <c r="Q76" s="86">
        <v>12</v>
      </c>
      <c r="R76" s="50">
        <v>45902</v>
      </c>
      <c r="S76" s="10" t="s">
        <v>123</v>
      </c>
      <c r="T76" s="149"/>
    </row>
    <row r="77" spans="16:20" ht="15.75" customHeight="1" x14ac:dyDescent="0.2">
      <c r="P77" s="82" t="s">
        <v>33</v>
      </c>
      <c r="Q77" s="86">
        <v>126</v>
      </c>
      <c r="R77" s="110">
        <v>45906</v>
      </c>
      <c r="S77" s="10" t="s">
        <v>129</v>
      </c>
      <c r="T77" s="149"/>
    </row>
    <row r="78" spans="16:20" ht="15.75" customHeight="1" x14ac:dyDescent="0.2">
      <c r="P78" s="82" t="s">
        <v>33</v>
      </c>
      <c r="Q78" s="86">
        <v>124.19</v>
      </c>
      <c r="R78" s="50">
        <v>45907</v>
      </c>
      <c r="S78" s="10" t="s">
        <v>131</v>
      </c>
      <c r="T78" s="149"/>
    </row>
    <row r="79" spans="16:20" ht="15.75" customHeight="1" x14ac:dyDescent="0.2">
      <c r="P79" s="82" t="s">
        <v>19</v>
      </c>
      <c r="Q79" s="86">
        <v>20.399999999999999</v>
      </c>
      <c r="R79" s="50">
        <v>45902</v>
      </c>
      <c r="S79" s="10" t="s">
        <v>124</v>
      </c>
      <c r="T79" s="149"/>
    </row>
    <row r="80" spans="16:20" ht="15.75" customHeight="1" x14ac:dyDescent="0.2">
      <c r="P80" s="9" t="s">
        <v>19</v>
      </c>
      <c r="Q80" s="86">
        <v>34.200000000000003</v>
      </c>
      <c r="R80" s="50">
        <v>45919</v>
      </c>
      <c r="S80" s="10" t="s">
        <v>74</v>
      </c>
      <c r="T80" s="149"/>
    </row>
    <row r="81" spans="16:19" ht="15.75" customHeight="1" x14ac:dyDescent="0.2">
      <c r="P81" s="94"/>
      <c r="Q81" s="95"/>
      <c r="R81" s="94"/>
      <c r="S81" s="94"/>
    </row>
    <row r="82" spans="16:19" ht="15.75" customHeight="1" x14ac:dyDescent="0.2">
      <c r="P82" s="94"/>
      <c r="Q82" s="95"/>
      <c r="R82" s="94"/>
      <c r="S82" s="94"/>
    </row>
    <row r="83" spans="16:19" ht="15.75" customHeight="1" x14ac:dyDescent="0.2">
      <c r="P83" s="94"/>
      <c r="Q83" s="95"/>
      <c r="R83" s="94"/>
      <c r="S83" s="94"/>
    </row>
    <row r="84" spans="16:19" ht="15.75" customHeight="1" x14ac:dyDescent="0.2">
      <c r="P84" s="94"/>
      <c r="Q84" s="95"/>
      <c r="R84" s="94"/>
      <c r="S84" s="94"/>
    </row>
    <row r="85" spans="16:19" ht="15.75" customHeight="1" x14ac:dyDescent="0.2">
      <c r="P85" s="94"/>
      <c r="Q85" s="95"/>
      <c r="R85" s="94"/>
      <c r="S85" s="94"/>
    </row>
    <row r="86" spans="16:19" ht="15.75" customHeight="1" x14ac:dyDescent="0.2">
      <c r="P86" s="94"/>
      <c r="Q86" s="95"/>
      <c r="R86" s="94"/>
      <c r="S86" s="94"/>
    </row>
    <row r="87" spans="16:19" ht="15.75" customHeight="1" x14ac:dyDescent="0.2">
      <c r="P87" s="94"/>
      <c r="Q87" s="95"/>
      <c r="R87" s="94"/>
      <c r="S87" s="94"/>
    </row>
    <row r="88" spans="16:19" ht="15.75" customHeight="1" x14ac:dyDescent="0.2">
      <c r="P88" s="94"/>
      <c r="Q88" s="95"/>
      <c r="R88" s="94"/>
      <c r="S88" s="94"/>
    </row>
    <row r="89" spans="16:19" ht="15.75" customHeight="1" x14ac:dyDescent="0.2">
      <c r="P89" s="94"/>
      <c r="Q89" s="95"/>
      <c r="R89" s="94"/>
      <c r="S89" s="94"/>
    </row>
    <row r="90" spans="16:19" ht="15.75" customHeight="1" x14ac:dyDescent="0.2">
      <c r="P90" s="94"/>
      <c r="Q90" s="95"/>
      <c r="R90" s="94"/>
      <c r="S90" s="94"/>
    </row>
  </sheetData>
  <mergeCells count="10">
    <mergeCell ref="E22:G22"/>
    <mergeCell ref="K22:N23"/>
    <mergeCell ref="K24:N25"/>
    <mergeCell ref="B2:C2"/>
    <mergeCell ref="B7:B8"/>
    <mergeCell ref="M11:N11"/>
    <mergeCell ref="B12:B13"/>
    <mergeCell ref="C12:C13"/>
    <mergeCell ref="B16:B17"/>
    <mergeCell ref="C16:C17"/>
  </mergeCells>
  <phoneticPr fontId="26" type="noConversion"/>
  <conditionalFormatting sqref="F24:F33">
    <cfRule type="cellIs" dxfId="125" priority="7" operator="greaterThan">
      <formula>0</formula>
    </cfRule>
    <cfRule type="cellIs" dxfId="124" priority="11" operator="lessThan">
      <formula>0</formula>
    </cfRule>
  </conditionalFormatting>
  <conditionalFormatting sqref="G24:G33">
    <cfRule type="cellIs" dxfId="123" priority="1" operator="lessThan">
      <formula>0</formula>
    </cfRule>
    <cfRule type="cellIs" dxfId="122" priority="2" operator="greaterThan">
      <formula>0</formula>
    </cfRule>
    <cfRule type="cellIs" dxfId="121" priority="4" operator="greaterThan">
      <formula>0</formula>
    </cfRule>
  </conditionalFormatting>
  <conditionalFormatting sqref="K22">
    <cfRule type="containsText" dxfId="120" priority="6" operator="containsText" text="Gasto com Extra ok">
      <formula>NOT(ISERROR(SEARCH("Gasto com Extra ok",K22)))</formula>
    </cfRule>
    <cfRule type="containsText" dxfId="119" priority="8" operator="containsText" text="Continuem assim">
      <formula>NOT(ISERROR(SEARCH("Continuem assim",K22)))</formula>
    </cfRule>
    <cfRule type="containsText" dxfId="118" priority="12" operator="containsText" text="ATENÇÃO, JÁ GASTAMOS">
      <formula>NOT(ISERROR(SEARCH("ATENÇÃO, JÁ GASTAMOS",K22)))</formula>
    </cfRule>
    <cfRule type="containsText" dxfId="117" priority="13" operator="containsText" text="ATENÇÃO, JA GASTAMOS">
      <formula>NOT(ISERROR(SEARCH("ATENÇÃO, JA GASTAMOS",K22)))</formula>
    </cfRule>
    <cfRule type="containsText" dxfId="116" priority="14" operator="containsText" text="ATENÇÃO PARA OS GASTOS">
      <formula>NOT(ISERROR(SEARCH("ATENÇÃO PARA OS GASTOS",K22)))</formula>
    </cfRule>
    <cfRule type="cellIs" dxfId="115" priority="15" operator="lessThan">
      <formula>150</formula>
    </cfRule>
  </conditionalFormatting>
  <conditionalFormatting sqref="K24">
    <cfRule type="containsText" dxfId="114" priority="9" operator="containsText" text="Os valores estão positivos">
      <formula>NOT(ISERROR(SEARCH("Os valores estão positivos",K24)))</formula>
    </cfRule>
    <cfRule type="containsText" dxfId="113" priority="10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112" priority="5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4D6-1DF9-4959-88C1-4BDE97C5DF9E}">
  <sheetPr>
    <outlinePr summaryBelow="0" summaryRight="0"/>
  </sheetPr>
  <dimension ref="B1:V104"/>
  <sheetViews>
    <sheetView zoomScaleNormal="100" workbookViewId="0">
      <selection activeCell="G27" sqref="G27"/>
    </sheetView>
  </sheetViews>
  <sheetFormatPr defaultColWidth="12.5703125" defaultRowHeight="15.75" customHeight="1" x14ac:dyDescent="0.2"/>
  <cols>
    <col min="1" max="1" width="1.5703125" customWidth="1"/>
    <col min="2" max="2" width="20.42578125" bestFit="1" customWidth="1"/>
    <col min="3" max="3" width="17.28515625" bestFit="1" customWidth="1"/>
    <col min="4" max="4" width="2.42578125" customWidth="1"/>
    <col min="5" max="5" width="22.85546875" bestFit="1" customWidth="1"/>
    <col min="6" max="6" width="17.285156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13.42578125" bestFit="1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2.42578125" bestFit="1" customWidth="1"/>
    <col min="18" max="18" width="9.7109375" bestFit="1" customWidth="1"/>
    <col min="19" max="19" width="26.28515625" bestFit="1" customWidth="1"/>
    <col min="20" max="20" width="12.42578125" bestFit="1" customWidth="1"/>
    <col min="21" max="21" width="18.140625" bestFit="1" customWidth="1"/>
    <col min="22" max="22" width="9.7109375" customWidth="1"/>
    <col min="23" max="23" width="13.140625" customWidth="1"/>
    <col min="24" max="24" width="17.28515625" bestFit="1" customWidth="1"/>
    <col min="25" max="25" width="22.28515625" bestFit="1" customWidth="1"/>
    <col min="28" max="28" width="22.28515625" bestFit="1" customWidth="1"/>
  </cols>
  <sheetData>
    <row r="1" spans="2:22" ht="9" customHeight="1" x14ac:dyDescent="0.2">
      <c r="T1" s="51"/>
      <c r="U1" s="51"/>
      <c r="V1" s="51"/>
    </row>
    <row r="2" spans="2:22" ht="15.75" customHeight="1" x14ac:dyDescent="0.2">
      <c r="B2" s="339" t="s">
        <v>0</v>
      </c>
      <c r="C2" s="340"/>
      <c r="D2" s="37"/>
      <c r="E2" s="98" t="s">
        <v>1</v>
      </c>
      <c r="F2" s="100" t="s">
        <v>27</v>
      </c>
      <c r="H2" s="37"/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4" t="s">
        <v>60</v>
      </c>
      <c r="Q2" s="35" t="s">
        <v>27</v>
      </c>
      <c r="R2" s="35" t="s">
        <v>36</v>
      </c>
      <c r="S2" s="35" t="s">
        <v>37</v>
      </c>
      <c r="T2" s="51"/>
      <c r="U2" s="51"/>
      <c r="V2" s="52"/>
    </row>
    <row r="3" spans="2:22" ht="15.75" customHeight="1" x14ac:dyDescent="0.2">
      <c r="B3" s="1" t="s">
        <v>43</v>
      </c>
      <c r="C3" s="1">
        <v>1646.48</v>
      </c>
      <c r="D3" s="37"/>
      <c r="E3" s="97" t="s">
        <v>4</v>
      </c>
      <c r="F3" s="101">
        <v>760</v>
      </c>
      <c r="H3" s="37"/>
      <c r="I3" s="126" t="s">
        <v>3</v>
      </c>
      <c r="J3" s="125">
        <v>64.900000000000006</v>
      </c>
      <c r="K3" s="129">
        <v>45933</v>
      </c>
      <c r="M3" s="25" t="s">
        <v>2</v>
      </c>
      <c r="N3" s="26">
        <v>15</v>
      </c>
      <c r="P3" s="6" t="s">
        <v>50</v>
      </c>
      <c r="Q3" s="85">
        <v>31.09</v>
      </c>
      <c r="R3" s="5">
        <v>30.09</v>
      </c>
      <c r="S3" s="8"/>
      <c r="V3" s="52"/>
    </row>
    <row r="4" spans="2:22" ht="15.75" customHeight="1" x14ac:dyDescent="0.2">
      <c r="B4" s="1" t="s">
        <v>44</v>
      </c>
      <c r="C4" s="1">
        <v>2394</v>
      </c>
      <c r="D4" s="37"/>
      <c r="E4" s="97" t="s">
        <v>6</v>
      </c>
      <c r="F4" s="101">
        <v>596</v>
      </c>
      <c r="H4" s="37"/>
      <c r="I4" s="126" t="s">
        <v>5</v>
      </c>
      <c r="J4" s="125">
        <v>147</v>
      </c>
      <c r="K4" s="129">
        <v>45996</v>
      </c>
      <c r="M4" s="25" t="s">
        <v>3</v>
      </c>
      <c r="N4" s="26">
        <v>19.899999999999999</v>
      </c>
      <c r="P4" s="6" t="s">
        <v>58</v>
      </c>
      <c r="Q4" s="85">
        <v>57</v>
      </c>
      <c r="R4" s="5">
        <v>45924</v>
      </c>
      <c r="S4" s="8" t="s">
        <v>155</v>
      </c>
      <c r="V4" s="52"/>
    </row>
    <row r="5" spans="2:22" ht="15.75" customHeight="1" x14ac:dyDescent="0.2">
      <c r="B5" s="1" t="s">
        <v>56</v>
      </c>
      <c r="C5" s="1">
        <v>812</v>
      </c>
      <c r="D5" s="37"/>
      <c r="E5" s="97" t="s">
        <v>9</v>
      </c>
      <c r="F5" s="101">
        <v>295</v>
      </c>
      <c r="H5" s="37"/>
      <c r="I5" s="126" t="s">
        <v>8</v>
      </c>
      <c r="J5" s="125">
        <v>39</v>
      </c>
      <c r="K5" s="129">
        <v>45936</v>
      </c>
      <c r="M5" s="25" t="s">
        <v>7</v>
      </c>
      <c r="N5" s="26">
        <v>11.8</v>
      </c>
      <c r="P5" s="6" t="s">
        <v>59</v>
      </c>
      <c r="Q5" s="85">
        <v>1.5</v>
      </c>
      <c r="R5" s="5">
        <v>45930</v>
      </c>
      <c r="S5" s="8" t="s">
        <v>182</v>
      </c>
      <c r="V5" s="52"/>
    </row>
    <row r="6" spans="2:22" ht="15.75" customHeight="1" x14ac:dyDescent="0.2">
      <c r="B6" s="1" t="s">
        <v>63</v>
      </c>
      <c r="C6" s="1">
        <v>946</v>
      </c>
      <c r="D6" s="37"/>
      <c r="E6" s="97" t="s">
        <v>12</v>
      </c>
      <c r="F6" s="101">
        <v>97</v>
      </c>
      <c r="H6" s="37"/>
      <c r="I6" s="126" t="s">
        <v>25</v>
      </c>
      <c r="J6" s="125">
        <v>39.99</v>
      </c>
      <c r="K6" s="130">
        <v>45751</v>
      </c>
      <c r="M6" s="25" t="s">
        <v>10</v>
      </c>
      <c r="N6" s="26">
        <v>20</v>
      </c>
      <c r="P6" s="6" t="s">
        <v>58</v>
      </c>
      <c r="Q6" s="85">
        <v>8.8000000000000007</v>
      </c>
      <c r="R6" s="5">
        <v>45930</v>
      </c>
      <c r="S6" s="8" t="s">
        <v>162</v>
      </c>
      <c r="T6" s="75"/>
      <c r="U6" s="37"/>
      <c r="V6" s="52"/>
    </row>
    <row r="7" spans="2:22" ht="15.75" customHeight="1" x14ac:dyDescent="0.2">
      <c r="B7" s="343" t="s">
        <v>15</v>
      </c>
      <c r="C7" s="41">
        <v>420</v>
      </c>
      <c r="D7" s="37"/>
      <c r="E7" s="97" t="s">
        <v>16</v>
      </c>
      <c r="F7" s="101">
        <v>100</v>
      </c>
      <c r="H7" s="37"/>
      <c r="I7" s="126" t="s">
        <v>39</v>
      </c>
      <c r="J7" s="125">
        <v>0</v>
      </c>
      <c r="K7" s="129" t="s">
        <v>39</v>
      </c>
      <c r="M7" s="25" t="s">
        <v>13</v>
      </c>
      <c r="N7" s="26">
        <v>19.899999999999999</v>
      </c>
      <c r="P7" s="6" t="s">
        <v>59</v>
      </c>
      <c r="Q7" s="85">
        <v>16.48</v>
      </c>
      <c r="R7" s="5">
        <v>45930</v>
      </c>
      <c r="S7" s="8" t="s">
        <v>100</v>
      </c>
      <c r="T7" s="37"/>
      <c r="U7" s="37"/>
      <c r="V7" s="52"/>
    </row>
    <row r="8" spans="2:22" ht="15.75" customHeight="1" x14ac:dyDescent="0.2">
      <c r="B8" s="344"/>
      <c r="C8" s="41">
        <v>412</v>
      </c>
      <c r="D8" s="37"/>
      <c r="E8" s="97" t="s">
        <v>19</v>
      </c>
      <c r="F8" s="101">
        <v>60</v>
      </c>
      <c r="H8" s="37"/>
      <c r="I8" s="126" t="s">
        <v>39</v>
      </c>
      <c r="J8" s="125">
        <v>0</v>
      </c>
      <c r="K8" s="129" t="s">
        <v>39</v>
      </c>
      <c r="M8" s="25" t="s">
        <v>17</v>
      </c>
      <c r="N8" s="26">
        <v>7</v>
      </c>
      <c r="P8" s="6" t="s">
        <v>50</v>
      </c>
      <c r="Q8" s="85">
        <v>26</v>
      </c>
      <c r="R8" s="5">
        <v>45930</v>
      </c>
      <c r="S8" s="8" t="s">
        <v>175</v>
      </c>
      <c r="T8" s="37"/>
      <c r="U8" s="37"/>
      <c r="V8" s="52"/>
    </row>
    <row r="9" spans="2:22" ht="15.75" customHeight="1" x14ac:dyDescent="0.2">
      <c r="B9" s="139" t="s">
        <v>53</v>
      </c>
      <c r="C9" s="140">
        <v>0</v>
      </c>
      <c r="D9" s="37"/>
      <c r="E9" s="97" t="s">
        <v>21</v>
      </c>
      <c r="F9" s="101">
        <v>200</v>
      </c>
      <c r="H9" s="37"/>
      <c r="I9" s="126" t="s">
        <v>39</v>
      </c>
      <c r="J9" s="125">
        <v>0</v>
      </c>
      <c r="K9" s="129" t="s">
        <v>39</v>
      </c>
      <c r="M9" s="31" t="s">
        <v>20</v>
      </c>
      <c r="N9" s="32">
        <f>SUM(N3:N8)</f>
        <v>93.6</v>
      </c>
      <c r="P9" s="6" t="s">
        <v>50</v>
      </c>
      <c r="Q9" s="85">
        <v>27.6</v>
      </c>
      <c r="R9" s="5">
        <v>45930</v>
      </c>
      <c r="S9" s="8"/>
      <c r="T9" s="37"/>
      <c r="U9" s="37"/>
      <c r="V9" s="52"/>
    </row>
    <row r="10" spans="2:22" ht="15.75" customHeight="1" x14ac:dyDescent="0.2">
      <c r="B10" s="139" t="s">
        <v>171</v>
      </c>
      <c r="C10" s="140">
        <v>3</v>
      </c>
      <c r="D10" s="37"/>
      <c r="E10" s="97" t="s">
        <v>22</v>
      </c>
      <c r="F10" s="101">
        <v>60</v>
      </c>
      <c r="H10" s="37"/>
      <c r="I10" s="132" t="s">
        <v>20</v>
      </c>
      <c r="J10" s="133">
        <f>SUM(J3:J9)</f>
        <v>290.89</v>
      </c>
      <c r="K10" s="135" t="s">
        <v>39</v>
      </c>
      <c r="N10" s="37"/>
      <c r="O10" s="37"/>
      <c r="P10" s="6" t="s">
        <v>33</v>
      </c>
      <c r="Q10" s="85">
        <v>32</v>
      </c>
      <c r="R10" s="5">
        <v>45930</v>
      </c>
      <c r="S10" s="8" t="s">
        <v>176</v>
      </c>
      <c r="T10" s="37"/>
      <c r="U10" s="37"/>
      <c r="V10" s="52"/>
    </row>
    <row r="11" spans="2:22" ht="16.5" x14ac:dyDescent="0.2">
      <c r="B11" s="139" t="s">
        <v>55</v>
      </c>
      <c r="C11" s="140">
        <v>450</v>
      </c>
      <c r="D11" s="37"/>
      <c r="E11" s="97" t="s">
        <v>23</v>
      </c>
      <c r="F11" s="101">
        <v>800</v>
      </c>
      <c r="H11" s="37"/>
      <c r="M11" s="341" t="s">
        <v>40</v>
      </c>
      <c r="N11" s="342"/>
      <c r="P11" s="6" t="s">
        <v>35</v>
      </c>
      <c r="Q11" s="85">
        <v>50</v>
      </c>
      <c r="R11" s="5">
        <v>45930</v>
      </c>
      <c r="S11" s="8" t="s">
        <v>167</v>
      </c>
      <c r="T11" s="37"/>
      <c r="U11" s="37"/>
      <c r="V11" s="52"/>
    </row>
    <row r="12" spans="2:22" ht="16.5" x14ac:dyDescent="0.2">
      <c r="B12" s="346" t="s">
        <v>20</v>
      </c>
      <c r="C12" s="347">
        <f>SUM(C3:C8,C11)</f>
        <v>7080.48</v>
      </c>
      <c r="D12" s="37"/>
      <c r="E12" s="97" t="s">
        <v>24</v>
      </c>
      <c r="F12" s="101">
        <f>N9</f>
        <v>93.6</v>
      </c>
      <c r="H12" s="37"/>
      <c r="I12" s="69"/>
      <c r="M12" s="27" t="s">
        <v>41</v>
      </c>
      <c r="N12" s="38">
        <v>15000</v>
      </c>
      <c r="P12" s="6" t="s">
        <v>21</v>
      </c>
      <c r="Q12" s="85">
        <v>72.37</v>
      </c>
      <c r="R12" s="5">
        <v>45930</v>
      </c>
      <c r="S12" s="8" t="s">
        <v>67</v>
      </c>
      <c r="T12" s="37"/>
      <c r="U12" s="37"/>
      <c r="V12" s="52"/>
    </row>
    <row r="13" spans="2:22" ht="16.5" x14ac:dyDescent="0.2">
      <c r="B13" s="344"/>
      <c r="C13" s="348"/>
      <c r="D13" s="37"/>
      <c r="E13" s="99" t="s">
        <v>20</v>
      </c>
      <c r="F13" s="102">
        <f>SUM(F3:F12)</f>
        <v>3061.6</v>
      </c>
      <c r="H13" s="37"/>
      <c r="M13" s="28" t="s">
        <v>42</v>
      </c>
      <c r="N13" s="39">
        <f>SUM('Mês 08'!N13+'Mês 09'!F24+'Mês 10'!F24+'Mês 08'!F24)</f>
        <v>4591.4119999999994</v>
      </c>
      <c r="P13" s="6" t="s">
        <v>50</v>
      </c>
      <c r="Q13" s="85">
        <v>280.74</v>
      </c>
      <c r="R13" s="5">
        <v>45930</v>
      </c>
      <c r="S13" s="8" t="s">
        <v>174</v>
      </c>
      <c r="T13" s="37"/>
      <c r="U13" s="37"/>
      <c r="V13" s="52"/>
    </row>
    <row r="14" spans="2:22" ht="16.5" x14ac:dyDescent="0.2">
      <c r="B14" s="37"/>
      <c r="C14" s="37"/>
      <c r="D14" s="37"/>
      <c r="E14" s="37"/>
      <c r="F14" s="37"/>
      <c r="H14" s="37"/>
      <c r="M14" s="29" t="s">
        <v>64</v>
      </c>
      <c r="N14" s="40">
        <f>N12-N13</f>
        <v>10408.588</v>
      </c>
      <c r="P14" s="6" t="s">
        <v>58</v>
      </c>
      <c r="Q14" s="85">
        <v>12</v>
      </c>
      <c r="R14" s="5">
        <v>45931</v>
      </c>
      <c r="S14" s="8" t="s">
        <v>183</v>
      </c>
      <c r="T14" s="37"/>
      <c r="U14" s="37"/>
      <c r="V14" s="52"/>
    </row>
    <row r="15" spans="2:22" ht="12.75" x14ac:dyDescent="0.2">
      <c r="B15" s="43"/>
      <c r="C15" s="43"/>
      <c r="D15" s="43"/>
      <c r="E15" s="44"/>
      <c r="F15" s="70"/>
      <c r="G15" s="37"/>
      <c r="H15" s="37"/>
      <c r="N15" s="37"/>
      <c r="O15" s="37"/>
      <c r="P15" s="6" t="s">
        <v>35</v>
      </c>
      <c r="Q15" s="85">
        <v>40</v>
      </c>
      <c r="R15" s="5">
        <v>45931</v>
      </c>
      <c r="S15" s="8" t="s">
        <v>173</v>
      </c>
      <c r="T15" s="37"/>
      <c r="U15" s="37"/>
      <c r="V15" s="52"/>
    </row>
    <row r="16" spans="2:22" ht="12.75" x14ac:dyDescent="0.2">
      <c r="B16" s="335" t="s">
        <v>20</v>
      </c>
      <c r="C16" s="337">
        <f>C12-F13-J10</f>
        <v>3727.99</v>
      </c>
      <c r="D16" s="43"/>
      <c r="E16" s="71"/>
      <c r="F16" s="72"/>
      <c r="G16" s="44"/>
      <c r="H16" s="44"/>
      <c r="N16" s="37"/>
      <c r="O16" s="37"/>
      <c r="P16" s="6" t="s">
        <v>59</v>
      </c>
      <c r="Q16" s="85">
        <v>23.9</v>
      </c>
      <c r="R16" s="5">
        <v>45932</v>
      </c>
      <c r="S16" s="8" t="s">
        <v>81</v>
      </c>
      <c r="T16" s="37"/>
      <c r="U16" s="37"/>
      <c r="V16" s="52"/>
    </row>
    <row r="17" spans="2:22" ht="12.75" x14ac:dyDescent="0.2">
      <c r="B17" s="336"/>
      <c r="C17" s="336"/>
      <c r="D17" s="43"/>
      <c r="E17" s="70"/>
      <c r="F17" s="69"/>
      <c r="G17" s="44"/>
      <c r="H17" s="44"/>
      <c r="K17" s="96"/>
      <c r="N17" s="37"/>
      <c r="P17" s="6" t="s">
        <v>35</v>
      </c>
      <c r="Q17" s="85">
        <v>60</v>
      </c>
      <c r="R17" s="5">
        <v>45932</v>
      </c>
      <c r="S17" s="8" t="s">
        <v>225</v>
      </c>
      <c r="T17" s="37"/>
      <c r="U17" s="37"/>
      <c r="V17" s="52"/>
    </row>
    <row r="18" spans="2:22" ht="12.75" customHeight="1" x14ac:dyDescent="0.2">
      <c r="B18" s="43"/>
      <c r="C18" s="43"/>
      <c r="D18" s="43"/>
      <c r="F18" s="69"/>
      <c r="I18" s="51"/>
      <c r="J18" s="51"/>
      <c r="K18" s="51"/>
      <c r="L18" s="37"/>
      <c r="M18" s="37"/>
      <c r="N18" s="37"/>
      <c r="P18" s="6" t="s">
        <v>59</v>
      </c>
      <c r="Q18" s="85">
        <v>10</v>
      </c>
      <c r="R18" s="5">
        <v>45933</v>
      </c>
      <c r="S18" s="5" t="s">
        <v>177</v>
      </c>
      <c r="T18" s="37"/>
      <c r="U18" s="37"/>
      <c r="V18" s="52"/>
    </row>
    <row r="19" spans="2:22" ht="12.75" x14ac:dyDescent="0.2">
      <c r="J19" s="37"/>
      <c r="K19" s="37"/>
      <c r="L19" s="37"/>
      <c r="M19" s="37"/>
      <c r="N19" s="37"/>
      <c r="P19" s="6" t="s">
        <v>59</v>
      </c>
      <c r="Q19" s="85">
        <v>29</v>
      </c>
      <c r="R19" s="5">
        <v>45933</v>
      </c>
      <c r="S19" s="8" t="s">
        <v>179</v>
      </c>
      <c r="T19" s="37"/>
      <c r="U19" s="37"/>
      <c r="V19" s="52"/>
    </row>
    <row r="20" spans="2:22" ht="12.75" x14ac:dyDescent="0.2">
      <c r="B20" s="37"/>
      <c r="C20" s="37"/>
      <c r="D20" s="37"/>
      <c r="J20" s="37"/>
      <c r="K20" s="37"/>
      <c r="L20" s="37"/>
      <c r="M20" s="37"/>
      <c r="N20" s="37"/>
      <c r="P20" s="6" t="s">
        <v>59</v>
      </c>
      <c r="Q20" s="85">
        <v>54.5</v>
      </c>
      <c r="R20" s="5">
        <v>45933</v>
      </c>
      <c r="S20" s="8" t="s">
        <v>178</v>
      </c>
    </row>
    <row r="21" spans="2:22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6" t="s">
        <v>35</v>
      </c>
      <c r="Q21" s="85">
        <v>7.97</v>
      </c>
      <c r="R21" s="5">
        <v>45933</v>
      </c>
      <c r="S21" s="8" t="s">
        <v>209</v>
      </c>
    </row>
    <row r="22" spans="2:22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79">
        <f>SUMIFS(Q3:Q104,P3:P104,"Casa")</f>
        <v>40</v>
      </c>
      <c r="K22" s="345" t="str">
        <f>IF(J28&gt;=200,"ATENÇÃO AO GASTO EXTRA R$ " &amp; SUM(J28), "GASTO COM EXTRA OK !")</f>
        <v>ATENÇÃO AO GASTO EXTRA R$ 709,84</v>
      </c>
      <c r="L22" s="345"/>
      <c r="M22" s="345"/>
      <c r="N22" s="345"/>
      <c r="P22" s="6" t="s">
        <v>59</v>
      </c>
      <c r="Q22" s="85">
        <v>18.96</v>
      </c>
      <c r="R22" s="5">
        <v>45934</v>
      </c>
      <c r="S22" s="8" t="s">
        <v>180</v>
      </c>
    </row>
    <row r="23" spans="2:22" ht="15.75" customHeight="1" x14ac:dyDescent="0.2">
      <c r="B23" s="3" t="s">
        <v>31</v>
      </c>
      <c r="C23" s="46">
        <f>C16*40%</f>
        <v>1491.1959999999999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79">
        <f>SUMIFS(Q3:Q104,P3:P104,"Lazer")</f>
        <v>734.98000000000013</v>
      </c>
      <c r="K23" s="345"/>
      <c r="L23" s="345"/>
      <c r="M23" s="345"/>
      <c r="N23" s="345"/>
      <c r="P23" s="6" t="s">
        <v>59</v>
      </c>
      <c r="Q23" s="85">
        <v>36</v>
      </c>
      <c r="R23" s="5">
        <v>45934</v>
      </c>
      <c r="S23" s="8" t="s">
        <v>181</v>
      </c>
    </row>
    <row r="24" spans="2:22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f>C23</f>
        <v>1491.1959999999999</v>
      </c>
      <c r="G24" s="134">
        <f>SUM(Tabela6151661218[[#This Row],[Valores]]+Tabela61516612[[#This Row],[Acumulado]])</f>
        <v>4091.4119999999994</v>
      </c>
      <c r="H24" s="2"/>
      <c r="I24" s="6" t="s">
        <v>34</v>
      </c>
      <c r="J24" s="79">
        <f>SUMIFS(Q3:Q104,P3:P104,"Roupas")</f>
        <v>409.96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6" t="s">
        <v>59</v>
      </c>
      <c r="Q24" s="85">
        <v>12</v>
      </c>
      <c r="R24" s="5">
        <v>45935</v>
      </c>
      <c r="S24" s="8" t="s">
        <v>102</v>
      </c>
    </row>
    <row r="25" spans="2:22" ht="15.75" customHeight="1" x14ac:dyDescent="0.2">
      <c r="B25" s="3" t="s">
        <v>33</v>
      </c>
      <c r="C25" s="46">
        <v>700</v>
      </c>
      <c r="D25" s="43"/>
      <c r="E25" s="54" t="s">
        <v>32</v>
      </c>
      <c r="F25" s="55">
        <f>C24-J22</f>
        <v>160</v>
      </c>
      <c r="G25" s="134">
        <f>SUM(Tabela6151661218[[#This Row],[Valores]]+Tabela61516612[[#This Row],[Acumulado]])</f>
        <v>525</v>
      </c>
      <c r="H25" s="2"/>
      <c r="I25" s="6" t="s">
        <v>19</v>
      </c>
      <c r="J25" s="79">
        <f>SUMIFS(Q3:Q104,P3:P104,"Nesco")</f>
        <v>52.3</v>
      </c>
      <c r="K25" s="334"/>
      <c r="L25" s="334"/>
      <c r="M25" s="334"/>
      <c r="N25" s="334"/>
      <c r="P25" s="6" t="s">
        <v>58</v>
      </c>
      <c r="Q25" s="85">
        <v>16.149999999999999</v>
      </c>
      <c r="R25" s="5">
        <v>45936</v>
      </c>
      <c r="S25" s="8" t="s">
        <v>190</v>
      </c>
    </row>
    <row r="26" spans="2:22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</f>
        <v>-34.980000000000132</v>
      </c>
      <c r="G26" s="134">
        <f>SUM(Tabela6151661218[[#This Row],[Valores]]+Tabela61516612[[#This Row],[Acumulado]])</f>
        <v>-19.450000000000095</v>
      </c>
      <c r="H26" s="2"/>
      <c r="I26" s="6" t="s">
        <v>21</v>
      </c>
      <c r="J26" s="79">
        <f>SUMIFS(Q3:Q104,P3:P104,"Gasolina / Óleo")</f>
        <v>258.2</v>
      </c>
      <c r="P26" s="6" t="s">
        <v>50</v>
      </c>
      <c r="Q26" s="85">
        <v>18.760000000000002</v>
      </c>
      <c r="R26" s="5">
        <v>45936</v>
      </c>
      <c r="S26" s="8" t="s">
        <v>191</v>
      </c>
    </row>
    <row r="27" spans="2:22" ht="15.75" customHeight="1" x14ac:dyDescent="0.2">
      <c r="B27" s="13" t="s">
        <v>35</v>
      </c>
      <c r="C27" s="46">
        <f>C16-SUM(C23:C26)-SUM(C31:C32)+60</f>
        <v>596.79399999999987</v>
      </c>
      <c r="D27" s="43"/>
      <c r="E27" s="54" t="s">
        <v>34</v>
      </c>
      <c r="F27" s="55">
        <f>C26-J24</f>
        <v>-209.95999999999998</v>
      </c>
      <c r="G27" s="134">
        <f>SUM(Tabela6151661218[[#This Row],[Valores]]+Tabela61516612[[#This Row],[Acumulado]])</f>
        <v>190.04000000000002</v>
      </c>
      <c r="H27" s="2"/>
      <c r="I27" s="6" t="s">
        <v>50</v>
      </c>
      <c r="J27" s="79">
        <f>SUMIFS(Q3:Q104,P3:P104,"Compras do Mês")</f>
        <v>932.08999999999992</v>
      </c>
      <c r="P27" s="6" t="s">
        <v>59</v>
      </c>
      <c r="Q27" s="85">
        <v>19.899999999999999</v>
      </c>
      <c r="R27" s="5">
        <v>45936</v>
      </c>
      <c r="S27" s="8" t="s">
        <v>194</v>
      </c>
    </row>
    <row r="28" spans="2:22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-51.990000000000066</v>
      </c>
      <c r="G28" s="134">
        <f>SUM(Tabela6151661218[[#This Row],[Valores]]+Tabela61516612[[#This Row],[Acumulado]])</f>
        <v>-46.710000000000122</v>
      </c>
      <c r="H28" s="2"/>
      <c r="I28" s="6" t="s">
        <v>35</v>
      </c>
      <c r="J28" s="79">
        <f>SUMIFS(Q3:Q104,P3:P104,"Extras")</f>
        <v>709.84</v>
      </c>
      <c r="P28" s="6" t="s">
        <v>35</v>
      </c>
      <c r="Q28" s="85">
        <v>50</v>
      </c>
      <c r="R28" s="5">
        <v>45936</v>
      </c>
      <c r="S28" s="8" t="s">
        <v>189</v>
      </c>
    </row>
    <row r="29" spans="2:22" ht="15.75" customHeight="1" x14ac:dyDescent="0.2">
      <c r="B29" s="12" t="s">
        <v>21</v>
      </c>
      <c r="C29" s="48">
        <v>200</v>
      </c>
      <c r="D29" s="43"/>
      <c r="E29" s="56" t="s">
        <v>58</v>
      </c>
      <c r="F29" s="57">
        <f>C32-J30</f>
        <v>24.579999999999984</v>
      </c>
      <c r="G29" s="134">
        <f>SUM(Tabela6151661218[[#This Row],[Valores]]+Tabela61516612[[#This Row],[Acumulado]])</f>
        <v>30.099999999999937</v>
      </c>
      <c r="H29" s="2"/>
      <c r="I29" s="6" t="s">
        <v>59</v>
      </c>
      <c r="J29" s="81">
        <f>SUMIFS(Q3:Q104,P3:P104,"Bobeirinhas V")</f>
        <v>351.99000000000007</v>
      </c>
      <c r="P29" s="6" t="s">
        <v>59</v>
      </c>
      <c r="Q29" s="85">
        <v>3.99</v>
      </c>
      <c r="R29" s="5">
        <v>45937</v>
      </c>
      <c r="S29" s="8" t="s">
        <v>193</v>
      </c>
    </row>
    <row r="30" spans="2:22" ht="15.75" customHeight="1" x14ac:dyDescent="0.2">
      <c r="B30" s="13" t="s">
        <v>50</v>
      </c>
      <c r="C30" s="47">
        <v>800</v>
      </c>
      <c r="D30" s="43"/>
      <c r="E30" s="58" t="s">
        <v>35</v>
      </c>
      <c r="F30" s="59">
        <f>C27-J28</f>
        <v>-113.04600000000016</v>
      </c>
      <c r="G30" s="134">
        <f>SUM(Tabela6151661218[[#This Row],[Valores]]+Tabela61516612[[#This Row],[Acumulado]])</f>
        <v>38.127999999998906</v>
      </c>
      <c r="H30" s="2"/>
      <c r="I30" s="9" t="s">
        <v>58</v>
      </c>
      <c r="J30" s="80">
        <f>SUMIFS(Q3:Q104,P3:P104,"Bobeirinhas J")</f>
        <v>275.42</v>
      </c>
      <c r="P30" s="6" t="s">
        <v>59</v>
      </c>
      <c r="Q30" s="85">
        <v>4.49</v>
      </c>
      <c r="R30" s="5">
        <v>45937</v>
      </c>
      <c r="S30" s="8" t="s">
        <v>81</v>
      </c>
    </row>
    <row r="31" spans="2:22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7.7000000000000028</v>
      </c>
      <c r="G31" s="134">
        <f>SUM(Tabela6151661218[[#This Row],[Valores]]+Tabela61516612[[#This Row],[Acumulado]])</f>
        <v>25.300000000000004</v>
      </c>
      <c r="H31" s="2"/>
      <c r="J31" s="96"/>
      <c r="N31" s="96"/>
      <c r="P31" s="6" t="s">
        <v>59</v>
      </c>
      <c r="Q31" s="85">
        <v>5</v>
      </c>
      <c r="R31" s="5">
        <v>45937</v>
      </c>
      <c r="S31" s="8" t="s">
        <v>99</v>
      </c>
    </row>
    <row r="32" spans="2:22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-58.199999999999989</v>
      </c>
      <c r="G32" s="134">
        <f>Tabela6151661218[[#This Row],[Valores]]</f>
        <v>-58.199999999999989</v>
      </c>
      <c r="H32" s="2"/>
      <c r="J32" s="37"/>
      <c r="P32" s="6" t="s">
        <v>58</v>
      </c>
      <c r="Q32" s="85">
        <v>21.15</v>
      </c>
      <c r="R32" s="5">
        <v>45938</v>
      </c>
      <c r="S32" s="8" t="s">
        <v>187</v>
      </c>
    </row>
    <row r="33" spans="2:22" ht="15.75" customHeight="1" x14ac:dyDescent="0.2">
      <c r="B33" s="73"/>
      <c r="C33" s="74"/>
      <c r="D33" s="43"/>
      <c r="E33" s="58" t="s">
        <v>50</v>
      </c>
      <c r="F33" s="61">
        <f>C30-J27</f>
        <v>-132.08999999999992</v>
      </c>
      <c r="G33" s="134">
        <f>Tabela6151661218[[#This Row],[Valores]]</f>
        <v>-132.08999999999992</v>
      </c>
      <c r="H33" s="2"/>
      <c r="M33" s="109"/>
      <c r="P33" s="6" t="s">
        <v>33</v>
      </c>
      <c r="Q33" s="85">
        <v>38.85</v>
      </c>
      <c r="R33" s="5">
        <v>45938</v>
      </c>
      <c r="S33" s="8" t="s">
        <v>188</v>
      </c>
    </row>
    <row r="34" spans="2:22" ht="15.75" customHeight="1" x14ac:dyDescent="0.2">
      <c r="B34" s="44"/>
      <c r="C34" s="44"/>
      <c r="D34" s="43"/>
      <c r="E34" s="43"/>
      <c r="F34" s="43"/>
      <c r="G34" s="141"/>
      <c r="H34" s="2"/>
      <c r="I34" s="69"/>
      <c r="P34" s="6" t="s">
        <v>33</v>
      </c>
      <c r="Q34" s="85">
        <v>48.8</v>
      </c>
      <c r="R34" s="5">
        <v>45938</v>
      </c>
      <c r="S34" s="8" t="s">
        <v>186</v>
      </c>
    </row>
    <row r="35" spans="2:22" ht="15.75" customHeight="1" x14ac:dyDescent="0.2">
      <c r="B35" s="37"/>
      <c r="C35" s="37"/>
      <c r="D35" s="37"/>
      <c r="E35" s="76" t="s">
        <v>79</v>
      </c>
      <c r="F35" s="77">
        <f>SUM(F24:F30)</f>
        <v>1265.7999999999997</v>
      </c>
      <c r="G35" s="70"/>
      <c r="P35" s="6" t="s">
        <v>58</v>
      </c>
      <c r="Q35" s="85">
        <v>10</v>
      </c>
      <c r="R35" s="5">
        <v>45939</v>
      </c>
      <c r="S35" s="8" t="s">
        <v>185</v>
      </c>
    </row>
    <row r="36" spans="2:22" ht="15.75" customHeight="1" x14ac:dyDescent="0.2">
      <c r="C36" s="69"/>
      <c r="F36" s="69"/>
      <c r="P36" s="6" t="s">
        <v>35</v>
      </c>
      <c r="Q36" s="85">
        <v>14.99</v>
      </c>
      <c r="R36" s="5">
        <v>45939</v>
      </c>
      <c r="S36" s="8" t="s">
        <v>100</v>
      </c>
    </row>
    <row r="37" spans="2:22" ht="12.75" customHeight="1" x14ac:dyDescent="0.2">
      <c r="F37" s="109"/>
      <c r="P37" s="6" t="s">
        <v>50</v>
      </c>
      <c r="Q37" s="85">
        <v>27.64</v>
      </c>
      <c r="R37" s="5">
        <v>45939</v>
      </c>
      <c r="S37" s="8" t="s">
        <v>184</v>
      </c>
    </row>
    <row r="38" spans="2:22" ht="13.5" customHeight="1" x14ac:dyDescent="0.2">
      <c r="P38" s="6" t="s">
        <v>21</v>
      </c>
      <c r="Q38" s="85">
        <v>68.03</v>
      </c>
      <c r="R38" s="5">
        <v>45939</v>
      </c>
      <c r="S38" s="8" t="s">
        <v>67</v>
      </c>
    </row>
    <row r="39" spans="2:22" ht="15.75" customHeight="1" x14ac:dyDescent="0.2">
      <c r="P39" s="6" t="s">
        <v>35</v>
      </c>
      <c r="Q39" s="85">
        <v>17.920000000000002</v>
      </c>
      <c r="R39" s="5">
        <v>45940</v>
      </c>
      <c r="S39" s="8" t="s">
        <v>52</v>
      </c>
    </row>
    <row r="40" spans="2:22" ht="15.75" customHeight="1" x14ac:dyDescent="0.2">
      <c r="P40" s="6" t="s">
        <v>33</v>
      </c>
      <c r="Q40" s="85">
        <v>107.11</v>
      </c>
      <c r="R40" s="5">
        <v>45940</v>
      </c>
      <c r="S40" s="8" t="s">
        <v>192</v>
      </c>
    </row>
    <row r="41" spans="2:22" ht="15.75" customHeight="1" x14ac:dyDescent="0.2">
      <c r="N41" s="69"/>
      <c r="P41" s="6" t="s">
        <v>50</v>
      </c>
      <c r="Q41" s="85">
        <v>20.83</v>
      </c>
      <c r="R41" s="5">
        <v>45942</v>
      </c>
      <c r="S41" s="8" t="s">
        <v>195</v>
      </c>
    </row>
    <row r="42" spans="2:22" ht="15.75" customHeight="1" x14ac:dyDescent="0.2">
      <c r="P42" s="6" t="s">
        <v>19</v>
      </c>
      <c r="Q42" s="85">
        <v>52.3</v>
      </c>
      <c r="R42" s="5">
        <v>45942</v>
      </c>
      <c r="S42" s="8" t="s">
        <v>196</v>
      </c>
    </row>
    <row r="43" spans="2:22" ht="15.75" customHeight="1" x14ac:dyDescent="0.2">
      <c r="P43" s="6" t="s">
        <v>33</v>
      </c>
      <c r="Q43" s="85">
        <v>60.74</v>
      </c>
      <c r="R43" s="5">
        <v>45942</v>
      </c>
      <c r="S43" s="8" t="s">
        <v>131</v>
      </c>
    </row>
    <row r="44" spans="2:22" ht="15.75" customHeight="1" x14ac:dyDescent="0.2">
      <c r="P44" s="6" t="s">
        <v>50</v>
      </c>
      <c r="Q44" s="85">
        <v>152</v>
      </c>
      <c r="R44" s="5">
        <v>45942</v>
      </c>
      <c r="S44" s="8" t="s">
        <v>138</v>
      </c>
    </row>
    <row r="45" spans="2:22" ht="15.75" customHeight="1" x14ac:dyDescent="0.2">
      <c r="P45" s="9" t="s">
        <v>35</v>
      </c>
      <c r="Q45" s="85">
        <v>6.95</v>
      </c>
      <c r="R45" s="5">
        <v>45943</v>
      </c>
      <c r="S45" s="8" t="s">
        <v>209</v>
      </c>
    </row>
    <row r="46" spans="2:22" ht="15.75" customHeight="1" x14ac:dyDescent="0.2">
      <c r="P46" s="6" t="s">
        <v>33</v>
      </c>
      <c r="Q46" s="85">
        <v>36.799999999999997</v>
      </c>
      <c r="R46" s="5">
        <v>45943</v>
      </c>
      <c r="S46" s="8" t="s">
        <v>206</v>
      </c>
    </row>
    <row r="47" spans="2:22" ht="15.75" customHeight="1" x14ac:dyDescent="0.2">
      <c r="P47" s="6" t="s">
        <v>59</v>
      </c>
      <c r="Q47" s="85">
        <v>14.96</v>
      </c>
      <c r="R47" s="5">
        <v>45945</v>
      </c>
      <c r="S47" s="8" t="s">
        <v>81</v>
      </c>
    </row>
    <row r="48" spans="2:22" ht="15.75" customHeight="1" x14ac:dyDescent="0.2">
      <c r="P48" s="6" t="s">
        <v>59</v>
      </c>
      <c r="Q48" s="85">
        <v>14.96</v>
      </c>
      <c r="R48" s="5">
        <v>45945</v>
      </c>
      <c r="S48" s="8" t="s">
        <v>214</v>
      </c>
      <c r="V48" s="51"/>
    </row>
    <row r="49" spans="13:22" ht="15" customHeight="1" x14ac:dyDescent="0.2">
      <c r="N49" s="96"/>
      <c r="P49" s="6" t="s">
        <v>59</v>
      </c>
      <c r="Q49" s="85">
        <v>18.989999999999998</v>
      </c>
      <c r="R49" s="5">
        <v>45945</v>
      </c>
      <c r="S49" s="8" t="s">
        <v>100</v>
      </c>
      <c r="T49" s="51"/>
      <c r="U49" s="51"/>
      <c r="V49" s="51"/>
    </row>
    <row r="50" spans="13:22" ht="15.75" customHeight="1" x14ac:dyDescent="0.2">
      <c r="O50" s="96"/>
      <c r="P50" s="6" t="s">
        <v>58</v>
      </c>
      <c r="Q50" s="85">
        <v>23</v>
      </c>
      <c r="R50" s="5">
        <v>45945</v>
      </c>
      <c r="S50" s="8" t="s">
        <v>197</v>
      </c>
    </row>
    <row r="51" spans="13:22" ht="15.75" customHeight="1" x14ac:dyDescent="0.2">
      <c r="P51" s="6" t="s">
        <v>33</v>
      </c>
      <c r="Q51" s="85">
        <v>5</v>
      </c>
      <c r="R51" s="5">
        <v>45946</v>
      </c>
      <c r="S51" s="8" t="s">
        <v>122</v>
      </c>
    </row>
    <row r="52" spans="13:22" ht="15.75" customHeight="1" x14ac:dyDescent="0.2">
      <c r="P52" s="6" t="s">
        <v>58</v>
      </c>
      <c r="Q52" s="85">
        <v>11.6</v>
      </c>
      <c r="R52" s="5">
        <v>45946</v>
      </c>
      <c r="S52" s="8" t="s">
        <v>199</v>
      </c>
    </row>
    <row r="53" spans="13:22" ht="15.75" customHeight="1" x14ac:dyDescent="0.2">
      <c r="P53" s="6" t="s">
        <v>33</v>
      </c>
      <c r="Q53" s="85">
        <v>11.9</v>
      </c>
      <c r="R53" s="5">
        <v>45946</v>
      </c>
      <c r="S53" s="8" t="s">
        <v>201</v>
      </c>
    </row>
    <row r="54" spans="13:22" ht="15.75" customHeight="1" x14ac:dyDescent="0.2">
      <c r="P54" s="6" t="s">
        <v>58</v>
      </c>
      <c r="Q54" s="85">
        <v>12</v>
      </c>
      <c r="R54" s="136">
        <v>45946</v>
      </c>
      <c r="S54" s="8" t="s">
        <v>218</v>
      </c>
    </row>
    <row r="55" spans="13:22" ht="15.75" customHeight="1" x14ac:dyDescent="0.2">
      <c r="P55" s="6" t="s">
        <v>50</v>
      </c>
      <c r="Q55" s="85">
        <v>14.77</v>
      </c>
      <c r="R55" s="5">
        <v>45946</v>
      </c>
      <c r="S55" s="8" t="s">
        <v>119</v>
      </c>
    </row>
    <row r="56" spans="13:22" ht="15.75" customHeight="1" x14ac:dyDescent="0.2">
      <c r="P56" s="6" t="s">
        <v>33</v>
      </c>
      <c r="Q56" s="85">
        <v>19</v>
      </c>
      <c r="R56" s="5">
        <v>45946</v>
      </c>
      <c r="S56" s="8" t="s">
        <v>203</v>
      </c>
    </row>
    <row r="57" spans="13:22" ht="15.75" customHeight="1" x14ac:dyDescent="0.2">
      <c r="P57" s="6" t="s">
        <v>33</v>
      </c>
      <c r="Q57" s="85">
        <v>19.78</v>
      </c>
      <c r="R57" s="5">
        <v>45946</v>
      </c>
      <c r="S57" s="8" t="s">
        <v>205</v>
      </c>
    </row>
    <row r="58" spans="13:22" ht="15.75" customHeight="1" x14ac:dyDescent="0.2">
      <c r="P58" s="6" t="s">
        <v>33</v>
      </c>
      <c r="Q58" s="85">
        <v>35.840000000000003</v>
      </c>
      <c r="R58" s="5">
        <v>45946</v>
      </c>
      <c r="S58" s="8" t="s">
        <v>204</v>
      </c>
    </row>
    <row r="59" spans="13:22" ht="15.75" customHeight="1" x14ac:dyDescent="0.2">
      <c r="P59" s="6" t="s">
        <v>33</v>
      </c>
      <c r="Q59" s="85">
        <v>55</v>
      </c>
      <c r="R59" s="5">
        <v>45946</v>
      </c>
      <c r="S59" s="8" t="s">
        <v>202</v>
      </c>
    </row>
    <row r="60" spans="13:22" ht="15.75" customHeight="1" x14ac:dyDescent="0.2">
      <c r="P60" s="6" t="s">
        <v>21</v>
      </c>
      <c r="Q60" s="85">
        <v>67.8</v>
      </c>
      <c r="R60" s="5">
        <v>45946</v>
      </c>
      <c r="S60" s="8" t="s">
        <v>200</v>
      </c>
    </row>
    <row r="61" spans="13:22" ht="15.75" customHeight="1" x14ac:dyDescent="0.2">
      <c r="P61" s="6" t="s">
        <v>34</v>
      </c>
      <c r="Q61" s="85">
        <v>239.98</v>
      </c>
      <c r="R61" s="5">
        <v>45946</v>
      </c>
      <c r="S61" s="8" t="s">
        <v>198</v>
      </c>
    </row>
    <row r="62" spans="13:22" ht="15.75" customHeight="1" x14ac:dyDescent="0.2">
      <c r="P62" s="6" t="s">
        <v>59</v>
      </c>
      <c r="Q62" s="85">
        <v>5.5</v>
      </c>
      <c r="R62" s="5">
        <v>45947</v>
      </c>
      <c r="S62" s="8" t="s">
        <v>210</v>
      </c>
    </row>
    <row r="63" spans="13:22" ht="15.75" customHeight="1" x14ac:dyDescent="0.2">
      <c r="M63" t="s">
        <v>39</v>
      </c>
      <c r="O63" t="s">
        <v>39</v>
      </c>
      <c r="P63" s="6" t="s">
        <v>58</v>
      </c>
      <c r="Q63" s="85">
        <v>13.3</v>
      </c>
      <c r="R63" s="5">
        <v>45947</v>
      </c>
      <c r="S63" s="8" t="s">
        <v>162</v>
      </c>
    </row>
    <row r="64" spans="13:22" ht="15.75" customHeight="1" x14ac:dyDescent="0.2">
      <c r="P64" s="6" t="s">
        <v>59</v>
      </c>
      <c r="Q64" s="85">
        <v>16.989999999999998</v>
      </c>
      <c r="R64" s="5">
        <v>45947</v>
      </c>
      <c r="S64" s="8" t="s">
        <v>100</v>
      </c>
    </row>
    <row r="65" spans="16:19" ht="15.75" customHeight="1" x14ac:dyDescent="0.2">
      <c r="P65" s="6" t="s">
        <v>33</v>
      </c>
      <c r="Q65" s="86">
        <v>24.75</v>
      </c>
      <c r="R65" s="50">
        <v>45947</v>
      </c>
      <c r="S65" s="10" t="s">
        <v>206</v>
      </c>
    </row>
    <row r="66" spans="16:19" ht="15.75" customHeight="1" x14ac:dyDescent="0.2">
      <c r="P66" s="6" t="s">
        <v>58</v>
      </c>
      <c r="Q66" s="85">
        <v>26</v>
      </c>
      <c r="R66" s="5">
        <v>45947</v>
      </c>
      <c r="S66" s="8" t="s">
        <v>217</v>
      </c>
    </row>
    <row r="67" spans="16:19" ht="15.75" customHeight="1" x14ac:dyDescent="0.2">
      <c r="P67" s="9" t="s">
        <v>35</v>
      </c>
      <c r="Q67" s="86">
        <v>60.44</v>
      </c>
      <c r="R67" s="50">
        <v>45947</v>
      </c>
      <c r="S67" s="10" t="s">
        <v>208</v>
      </c>
    </row>
    <row r="68" spans="16:19" ht="15.75" customHeight="1" x14ac:dyDescent="0.2">
      <c r="P68" s="9" t="s">
        <v>33</v>
      </c>
      <c r="Q68" s="86">
        <v>185</v>
      </c>
      <c r="R68" s="50">
        <v>45947</v>
      </c>
      <c r="S68" s="10" t="s">
        <v>207</v>
      </c>
    </row>
    <row r="69" spans="16:19" ht="15.75" customHeight="1" x14ac:dyDescent="0.2">
      <c r="P69" s="9" t="s">
        <v>33</v>
      </c>
      <c r="Q69" s="86">
        <v>12.97</v>
      </c>
      <c r="R69" s="50">
        <v>45949</v>
      </c>
      <c r="S69" s="10" t="s">
        <v>213</v>
      </c>
    </row>
    <row r="70" spans="16:19" ht="15.75" customHeight="1" x14ac:dyDescent="0.2">
      <c r="P70" s="9" t="s">
        <v>50</v>
      </c>
      <c r="Q70" s="86">
        <v>25</v>
      </c>
      <c r="R70" s="50">
        <v>45949</v>
      </c>
      <c r="S70" s="10" t="s">
        <v>212</v>
      </c>
    </row>
    <row r="71" spans="16:19" ht="15.75" customHeight="1" x14ac:dyDescent="0.2">
      <c r="P71" s="9" t="s">
        <v>34</v>
      </c>
      <c r="Q71" s="86">
        <v>169.98</v>
      </c>
      <c r="R71" s="50">
        <v>45949</v>
      </c>
      <c r="S71" s="10" t="s">
        <v>211</v>
      </c>
    </row>
    <row r="72" spans="16:19" ht="15.75" customHeight="1" x14ac:dyDescent="0.2">
      <c r="P72" s="9" t="s">
        <v>58</v>
      </c>
      <c r="Q72" s="86">
        <v>15.5</v>
      </c>
      <c r="R72" s="50">
        <v>45950</v>
      </c>
      <c r="S72" s="10" t="s">
        <v>215</v>
      </c>
    </row>
    <row r="73" spans="16:19" ht="15.75" customHeight="1" x14ac:dyDescent="0.2">
      <c r="P73" s="9" t="s">
        <v>35</v>
      </c>
      <c r="Q73" s="86">
        <v>16</v>
      </c>
      <c r="R73" s="50">
        <v>45950</v>
      </c>
      <c r="S73" s="10" t="s">
        <v>216</v>
      </c>
    </row>
    <row r="74" spans="16:19" ht="15.75" customHeight="1" x14ac:dyDescent="0.2">
      <c r="P74" s="9" t="s">
        <v>59</v>
      </c>
      <c r="Q74" s="86">
        <v>16.899999999999999</v>
      </c>
      <c r="R74" s="50">
        <v>45950</v>
      </c>
      <c r="S74" s="10" t="s">
        <v>194</v>
      </c>
    </row>
    <row r="75" spans="16:19" ht="15.75" customHeight="1" x14ac:dyDescent="0.2">
      <c r="P75" s="9" t="s">
        <v>33</v>
      </c>
      <c r="Q75" s="86">
        <v>25.44</v>
      </c>
      <c r="R75" s="50">
        <v>45950</v>
      </c>
      <c r="S75" s="10" t="s">
        <v>206</v>
      </c>
    </row>
    <row r="76" spans="16:19" ht="15.75" customHeight="1" x14ac:dyDescent="0.2">
      <c r="P76" s="9" t="s">
        <v>35</v>
      </c>
      <c r="Q76" s="86">
        <v>6.6</v>
      </c>
      <c r="R76" s="50">
        <v>45951</v>
      </c>
      <c r="S76" s="10" t="s">
        <v>209</v>
      </c>
    </row>
    <row r="77" spans="16:19" ht="15.75" customHeight="1" x14ac:dyDescent="0.2">
      <c r="P77" s="9" t="s">
        <v>50</v>
      </c>
      <c r="Q77" s="86">
        <v>71.53</v>
      </c>
      <c r="R77" s="50">
        <v>45951</v>
      </c>
      <c r="S77" s="10" t="s">
        <v>220</v>
      </c>
    </row>
    <row r="78" spans="16:19" ht="15.75" customHeight="1" x14ac:dyDescent="0.2">
      <c r="P78" s="9" t="s">
        <v>35</v>
      </c>
      <c r="Q78" s="86">
        <v>6.57</v>
      </c>
      <c r="R78" s="50">
        <v>45952</v>
      </c>
      <c r="S78" s="10" t="s">
        <v>209</v>
      </c>
    </row>
    <row r="79" spans="16:19" ht="15.75" customHeight="1" x14ac:dyDescent="0.2">
      <c r="P79" s="9" t="s">
        <v>59</v>
      </c>
      <c r="Q79" s="86">
        <v>16</v>
      </c>
      <c r="R79" s="50">
        <v>45953</v>
      </c>
      <c r="S79" s="10" t="s">
        <v>219</v>
      </c>
    </row>
    <row r="80" spans="16:19" ht="15.75" customHeight="1" x14ac:dyDescent="0.2">
      <c r="P80" s="9" t="s">
        <v>59</v>
      </c>
      <c r="Q80" s="86">
        <v>11.97</v>
      </c>
      <c r="R80" s="50">
        <v>45953</v>
      </c>
      <c r="S80" s="10" t="s">
        <v>180</v>
      </c>
    </row>
    <row r="81" spans="16:19" ht="15.75" customHeight="1" x14ac:dyDescent="0.2">
      <c r="P81" s="9" t="s">
        <v>35</v>
      </c>
      <c r="Q81" s="86">
        <v>30</v>
      </c>
      <c r="R81" s="50">
        <v>45953</v>
      </c>
      <c r="S81" s="10" t="s">
        <v>224</v>
      </c>
    </row>
    <row r="82" spans="16:19" ht="15.75" customHeight="1" x14ac:dyDescent="0.2">
      <c r="P82" s="9" t="s">
        <v>50</v>
      </c>
      <c r="Q82" s="86">
        <v>12.99</v>
      </c>
      <c r="R82" s="50">
        <v>45954</v>
      </c>
      <c r="S82" s="10" t="s">
        <v>221</v>
      </c>
    </row>
    <row r="83" spans="16:19" ht="15.75" customHeight="1" x14ac:dyDescent="0.2">
      <c r="P83" s="9" t="s">
        <v>58</v>
      </c>
      <c r="Q83" s="86">
        <f>36.14+12.78</f>
        <v>48.92</v>
      </c>
      <c r="R83" s="50">
        <v>45954</v>
      </c>
      <c r="S83" s="10" t="s">
        <v>222</v>
      </c>
    </row>
    <row r="84" spans="16:19" ht="15.75" customHeight="1" x14ac:dyDescent="0.2">
      <c r="P84" s="9" t="s">
        <v>50</v>
      </c>
      <c r="Q84" s="86">
        <v>121</v>
      </c>
      <c r="R84" s="50">
        <v>45954</v>
      </c>
      <c r="S84" s="10" t="s">
        <v>220</v>
      </c>
    </row>
    <row r="85" spans="16:19" ht="15.75" customHeight="1" x14ac:dyDescent="0.2">
      <c r="P85" s="9" t="s">
        <v>32</v>
      </c>
      <c r="Q85" s="86">
        <v>40</v>
      </c>
      <c r="R85" s="50">
        <v>45954</v>
      </c>
      <c r="S85" s="10" t="s">
        <v>229</v>
      </c>
    </row>
    <row r="86" spans="16:19" ht="15.75" customHeight="1" x14ac:dyDescent="0.2">
      <c r="P86" s="9" t="s">
        <v>35</v>
      </c>
      <c r="Q86" s="86">
        <v>10.9</v>
      </c>
      <c r="R86" s="50">
        <v>45955</v>
      </c>
      <c r="S86" s="10" t="s">
        <v>209</v>
      </c>
    </row>
    <row r="87" spans="16:19" ht="15.75" customHeight="1" x14ac:dyDescent="0.2">
      <c r="P87" s="9" t="s">
        <v>21</v>
      </c>
      <c r="Q87" s="86">
        <v>50</v>
      </c>
      <c r="R87" s="50">
        <v>45955</v>
      </c>
      <c r="S87" s="10" t="s">
        <v>223</v>
      </c>
    </row>
    <row r="88" spans="16:19" ht="15.75" customHeight="1" x14ac:dyDescent="0.2">
      <c r="P88" s="9" t="s">
        <v>35</v>
      </c>
      <c r="Q88" s="86">
        <f>33.25+10.5</f>
        <v>43.75</v>
      </c>
      <c r="R88" s="50">
        <v>45955</v>
      </c>
      <c r="S88" s="10" t="s">
        <v>227</v>
      </c>
    </row>
    <row r="89" spans="16:19" ht="15.75" customHeight="1" x14ac:dyDescent="0.2">
      <c r="P89" s="9" t="s">
        <v>35</v>
      </c>
      <c r="Q89" s="86">
        <v>231.8</v>
      </c>
      <c r="R89" s="50">
        <v>45955</v>
      </c>
      <c r="S89" s="10" t="s">
        <v>228</v>
      </c>
    </row>
    <row r="90" spans="16:19" ht="15.75" customHeight="1" x14ac:dyDescent="0.2">
      <c r="P90" s="9" t="s">
        <v>35</v>
      </c>
      <c r="Q90" s="86">
        <v>11.95</v>
      </c>
      <c r="R90" s="50">
        <v>45955</v>
      </c>
      <c r="S90" s="10" t="s">
        <v>209</v>
      </c>
    </row>
    <row r="91" spans="16:19" ht="15.75" customHeight="1" x14ac:dyDescent="0.2">
      <c r="P91" s="9" t="s">
        <v>35</v>
      </c>
      <c r="Q91" s="86">
        <v>44</v>
      </c>
      <c r="R91" s="50">
        <v>45955</v>
      </c>
      <c r="S91" s="10" t="s">
        <v>230</v>
      </c>
    </row>
    <row r="92" spans="16:19" ht="15.75" customHeight="1" x14ac:dyDescent="0.2">
      <c r="P92" s="9" t="s">
        <v>33</v>
      </c>
      <c r="Q92" s="86">
        <v>16</v>
      </c>
      <c r="R92" s="50">
        <v>45955</v>
      </c>
      <c r="S92" s="10" t="s">
        <v>210</v>
      </c>
    </row>
    <row r="93" spans="16:19" ht="15.75" customHeight="1" x14ac:dyDescent="0.2">
      <c r="P93" s="9" t="s">
        <v>50</v>
      </c>
      <c r="Q93" s="86">
        <v>6.69</v>
      </c>
      <c r="R93" s="50">
        <v>45955</v>
      </c>
      <c r="S93" s="50" t="s">
        <v>231</v>
      </c>
    </row>
    <row r="94" spans="16:19" ht="15.75" customHeight="1" x14ac:dyDescent="0.2">
      <c r="P94" s="9" t="s">
        <v>50</v>
      </c>
      <c r="Q94" s="86">
        <v>17.27</v>
      </c>
      <c r="R94" s="50">
        <v>45957</v>
      </c>
      <c r="S94" s="10" t="s">
        <v>232</v>
      </c>
    </row>
    <row r="95" spans="16:19" ht="15.75" customHeight="1" x14ac:dyDescent="0.2">
      <c r="P95" s="9" t="s">
        <v>50</v>
      </c>
      <c r="Q95" s="86">
        <v>35.75</v>
      </c>
      <c r="R95" s="50">
        <v>45957</v>
      </c>
      <c r="S95" s="10" t="s">
        <v>138</v>
      </c>
    </row>
    <row r="96" spans="16:19" ht="15.75" customHeight="1" x14ac:dyDescent="0.2">
      <c r="P96" s="9" t="s">
        <v>50</v>
      </c>
      <c r="Q96" s="86">
        <v>42.43</v>
      </c>
      <c r="R96" s="50">
        <v>45957</v>
      </c>
      <c r="S96" s="10" t="s">
        <v>138</v>
      </c>
    </row>
    <row r="97" spans="16:19" ht="15.75" customHeight="1" x14ac:dyDescent="0.2">
      <c r="P97" s="9"/>
      <c r="Q97" s="86"/>
      <c r="R97" s="50"/>
      <c r="S97" s="10"/>
    </row>
    <row r="98" spans="16:19" ht="15.75" customHeight="1" x14ac:dyDescent="0.2">
      <c r="P98" s="9"/>
      <c r="Q98" s="86"/>
      <c r="R98" s="50"/>
      <c r="S98" s="10"/>
    </row>
    <row r="99" spans="16:19" ht="15.75" customHeight="1" x14ac:dyDescent="0.2">
      <c r="P99" s="9"/>
      <c r="Q99" s="86"/>
      <c r="R99" s="50"/>
      <c r="S99" s="10"/>
    </row>
    <row r="100" spans="16:19" ht="15.75" customHeight="1" x14ac:dyDescent="0.2">
      <c r="P100" s="9"/>
      <c r="Q100" s="86"/>
      <c r="R100" s="50"/>
      <c r="S100" s="10"/>
    </row>
    <row r="101" spans="16:19" ht="15.75" customHeight="1" x14ac:dyDescent="0.2">
      <c r="P101" s="9"/>
      <c r="Q101" s="86"/>
      <c r="R101" s="50"/>
      <c r="S101" s="10"/>
    </row>
    <row r="102" spans="16:19" ht="15.75" customHeight="1" x14ac:dyDescent="0.2">
      <c r="P102" s="9"/>
      <c r="Q102" s="86"/>
      <c r="R102" s="50"/>
      <c r="S102" s="10"/>
    </row>
    <row r="103" spans="16:19" ht="15.75" customHeight="1" x14ac:dyDescent="0.2">
      <c r="P103" s="9"/>
      <c r="Q103" s="86"/>
      <c r="R103" s="50"/>
      <c r="S103" s="10"/>
    </row>
    <row r="104" spans="16:19" ht="15.75" customHeight="1" x14ac:dyDescent="0.2">
      <c r="P104" s="36"/>
      <c r="Q104" s="85"/>
      <c r="R104" s="5"/>
      <c r="S104" s="8"/>
    </row>
  </sheetData>
  <mergeCells count="10">
    <mergeCell ref="E22:G22"/>
    <mergeCell ref="K22:N23"/>
    <mergeCell ref="K24:N25"/>
    <mergeCell ref="B2:C2"/>
    <mergeCell ref="B7:B8"/>
    <mergeCell ref="M11:N11"/>
    <mergeCell ref="B12:B13"/>
    <mergeCell ref="C12:C13"/>
    <mergeCell ref="B16:B17"/>
    <mergeCell ref="C16:C17"/>
  </mergeCells>
  <conditionalFormatting sqref="F24:F33">
    <cfRule type="cellIs" dxfId="111" priority="6" operator="greaterThan">
      <formula>0</formula>
    </cfRule>
    <cfRule type="cellIs" dxfId="110" priority="10" operator="lessThan">
      <formula>0</formula>
    </cfRule>
  </conditionalFormatting>
  <conditionalFormatting sqref="G24:G33">
    <cfRule type="cellIs" dxfId="109" priority="1" operator="lessThan">
      <formula>0</formula>
    </cfRule>
    <cfRule type="cellIs" dxfId="108" priority="2" operator="greaterThan">
      <formula>0</formula>
    </cfRule>
    <cfRule type="cellIs" dxfId="107" priority="3" operator="greaterThan">
      <formula>0</formula>
    </cfRule>
  </conditionalFormatting>
  <conditionalFormatting sqref="K22">
    <cfRule type="containsText" dxfId="106" priority="5" operator="containsText" text="Gasto com Extra ok">
      <formula>NOT(ISERROR(SEARCH("Gasto com Extra ok",K22)))</formula>
    </cfRule>
    <cfRule type="containsText" dxfId="105" priority="7" operator="containsText" text="Continuem assim">
      <formula>NOT(ISERROR(SEARCH("Continuem assim",K22)))</formula>
    </cfRule>
    <cfRule type="containsText" dxfId="104" priority="11" operator="containsText" text="ATENÇÃO, JÁ GASTAMOS">
      <formula>NOT(ISERROR(SEARCH("ATENÇÃO, JÁ GASTAMOS",K22)))</formula>
    </cfRule>
    <cfRule type="containsText" dxfId="103" priority="12" operator="containsText" text="ATENÇÃO, JA GASTAMOS">
      <formula>NOT(ISERROR(SEARCH("ATENÇÃO, JA GASTAMOS",K22)))</formula>
    </cfRule>
    <cfRule type="containsText" dxfId="102" priority="13" operator="containsText" text="ATENÇÃO PARA OS GASTOS">
      <formula>NOT(ISERROR(SEARCH("ATENÇÃO PARA OS GASTOS",K22)))</formula>
    </cfRule>
    <cfRule type="cellIs" dxfId="101" priority="14" operator="lessThan">
      <formula>150</formula>
    </cfRule>
  </conditionalFormatting>
  <conditionalFormatting sqref="K24">
    <cfRule type="containsText" dxfId="100" priority="8" operator="containsText" text="Os valores estão positivos">
      <formula>NOT(ISERROR(SEARCH("Os valores estão positivos",K24)))</formula>
    </cfRule>
    <cfRule type="containsText" dxfId="99" priority="9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98" priority="4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BFA-F3DE-46F8-B4A5-AFF7E066ACD5}">
  <sheetPr>
    <outlinePr summaryBelow="0" summaryRight="0"/>
  </sheetPr>
  <dimension ref="B1:V106"/>
  <sheetViews>
    <sheetView zoomScaleNormal="100" workbookViewId="0">
      <selection activeCell="C28" sqref="C28"/>
    </sheetView>
  </sheetViews>
  <sheetFormatPr defaultColWidth="12.5703125" defaultRowHeight="15.75" customHeight="1" x14ac:dyDescent="0.2"/>
  <cols>
    <col min="1" max="1" width="1.5703125" customWidth="1"/>
    <col min="2" max="2" width="25.28515625" bestFit="1" customWidth="1"/>
    <col min="3" max="3" width="17.28515625" bestFit="1" customWidth="1"/>
    <col min="4" max="4" width="2.42578125" customWidth="1"/>
    <col min="5" max="5" width="22.85546875" bestFit="1" customWidth="1"/>
    <col min="6" max="6" width="17.285156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13.42578125" bestFit="1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2.42578125" bestFit="1" customWidth="1"/>
    <col min="18" max="18" width="9.7109375" bestFit="1" customWidth="1"/>
    <col min="19" max="19" width="26.28515625" bestFit="1" customWidth="1"/>
    <col min="20" max="20" width="12.42578125" bestFit="1" customWidth="1"/>
    <col min="21" max="21" width="18.140625" bestFit="1" customWidth="1"/>
    <col min="22" max="22" width="9.7109375" customWidth="1"/>
    <col min="23" max="23" width="13.140625" customWidth="1"/>
    <col min="24" max="24" width="17.28515625" bestFit="1" customWidth="1"/>
    <col min="25" max="25" width="22.28515625" bestFit="1" customWidth="1"/>
    <col min="28" max="28" width="22.28515625" bestFit="1" customWidth="1"/>
  </cols>
  <sheetData>
    <row r="1" spans="2:22" ht="9" customHeight="1" x14ac:dyDescent="0.2">
      <c r="T1" s="51"/>
      <c r="U1" s="51"/>
      <c r="V1" s="51"/>
    </row>
    <row r="2" spans="2:22" ht="15.75" customHeight="1" x14ac:dyDescent="0.2">
      <c r="B2" s="339" t="s">
        <v>0</v>
      </c>
      <c r="C2" s="340"/>
      <c r="D2" s="37"/>
      <c r="E2" s="98" t="s">
        <v>1</v>
      </c>
      <c r="F2" s="100" t="s">
        <v>27</v>
      </c>
      <c r="H2" s="37"/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4" t="s">
        <v>60</v>
      </c>
      <c r="Q2" s="35" t="s">
        <v>27</v>
      </c>
      <c r="R2" s="35" t="s">
        <v>36</v>
      </c>
      <c r="S2" s="35" t="s">
        <v>37</v>
      </c>
      <c r="T2" s="51"/>
      <c r="U2" s="51"/>
      <c r="V2" s="52"/>
    </row>
    <row r="3" spans="2:22" ht="15.75" customHeight="1" x14ac:dyDescent="0.2">
      <c r="B3" s="1" t="s">
        <v>43</v>
      </c>
      <c r="C3" s="1">
        <v>1646.48</v>
      </c>
      <c r="D3" s="37"/>
      <c r="E3" s="97" t="s">
        <v>4</v>
      </c>
      <c r="F3" s="101">
        <v>760</v>
      </c>
      <c r="H3" s="37"/>
      <c r="I3" s="126" t="s">
        <v>3</v>
      </c>
      <c r="J3" s="125">
        <v>64.900000000000006</v>
      </c>
      <c r="K3" s="129">
        <v>45934</v>
      </c>
      <c r="M3" s="25" t="s">
        <v>2</v>
      </c>
      <c r="N3" s="26">
        <v>15</v>
      </c>
      <c r="P3" s="6" t="s">
        <v>58</v>
      </c>
      <c r="Q3" s="85">
        <f>4*5.79</f>
        <v>23.16</v>
      </c>
      <c r="R3" s="5">
        <v>45959</v>
      </c>
      <c r="S3" s="8" t="s">
        <v>96</v>
      </c>
      <c r="V3" s="52"/>
    </row>
    <row r="4" spans="2:22" ht="15.75" customHeight="1" x14ac:dyDescent="0.2">
      <c r="B4" s="1" t="s">
        <v>44</v>
      </c>
      <c r="C4" s="1">
        <v>3190.34</v>
      </c>
      <c r="D4" s="37"/>
      <c r="E4" s="97" t="s">
        <v>6</v>
      </c>
      <c r="F4" s="101">
        <v>596</v>
      </c>
      <c r="G4" s="109"/>
      <c r="H4" s="37"/>
      <c r="I4" s="126" t="s">
        <v>5</v>
      </c>
      <c r="J4" s="125">
        <v>147</v>
      </c>
      <c r="K4" s="129">
        <v>45997</v>
      </c>
      <c r="M4" s="25" t="s">
        <v>3</v>
      </c>
      <c r="N4" s="26">
        <v>19.899999999999999</v>
      </c>
      <c r="P4" s="6" t="s">
        <v>33</v>
      </c>
      <c r="Q4" s="85">
        <f>13.07+11.88+14.9</f>
        <v>39.85</v>
      </c>
      <c r="R4" s="5">
        <v>45959</v>
      </c>
      <c r="S4" s="8" t="s">
        <v>236</v>
      </c>
      <c r="V4" s="52"/>
    </row>
    <row r="5" spans="2:22" ht="15.75" customHeight="1" x14ac:dyDescent="0.2">
      <c r="B5" s="1" t="s">
        <v>56</v>
      </c>
      <c r="C5" s="1">
        <v>812</v>
      </c>
      <c r="D5" s="37"/>
      <c r="E5" s="97" t="s">
        <v>9</v>
      </c>
      <c r="F5" s="101">
        <v>295</v>
      </c>
      <c r="G5" s="109"/>
      <c r="H5" s="37"/>
      <c r="I5" s="126" t="s">
        <v>8</v>
      </c>
      <c r="J5" s="125">
        <v>39</v>
      </c>
      <c r="K5" s="129">
        <v>45937</v>
      </c>
      <c r="M5" s="25" t="s">
        <v>7</v>
      </c>
      <c r="N5" s="26">
        <v>11.8</v>
      </c>
      <c r="P5" s="9" t="s">
        <v>50</v>
      </c>
      <c r="Q5" s="85">
        <f>142.14-Q4-Q3</f>
        <v>79.13</v>
      </c>
      <c r="R5" s="5">
        <v>45959</v>
      </c>
      <c r="S5" s="8" t="s">
        <v>237</v>
      </c>
      <c r="V5" s="52"/>
    </row>
    <row r="6" spans="2:22" ht="15.75" customHeight="1" x14ac:dyDescent="0.2">
      <c r="B6" s="1" t="s">
        <v>63</v>
      </c>
      <c r="C6" s="1">
        <v>946</v>
      </c>
      <c r="D6" s="37"/>
      <c r="E6" s="97" t="s">
        <v>12</v>
      </c>
      <c r="F6" s="101">
        <v>97</v>
      </c>
      <c r="G6" s="109"/>
      <c r="H6" s="37"/>
      <c r="I6" s="126" t="s">
        <v>226</v>
      </c>
      <c r="J6" s="125">
        <v>179.58</v>
      </c>
      <c r="K6" s="130">
        <v>45993</v>
      </c>
      <c r="M6" s="25" t="s">
        <v>10</v>
      </c>
      <c r="N6" s="26">
        <v>20</v>
      </c>
      <c r="P6" s="6" t="s">
        <v>35</v>
      </c>
      <c r="Q6" s="85">
        <v>18.079999999999998</v>
      </c>
      <c r="R6" s="5">
        <v>45959</v>
      </c>
      <c r="S6" s="8" t="s">
        <v>245</v>
      </c>
      <c r="T6" s="75"/>
      <c r="U6" s="37"/>
      <c r="V6" s="52"/>
    </row>
    <row r="7" spans="2:22" ht="15.75" customHeight="1" x14ac:dyDescent="0.2">
      <c r="B7" s="343" t="s">
        <v>15</v>
      </c>
      <c r="C7" s="41">
        <v>445</v>
      </c>
      <c r="D7" s="37"/>
      <c r="E7" s="97" t="s">
        <v>16</v>
      </c>
      <c r="F7" s="101">
        <v>100</v>
      </c>
      <c r="G7" s="109"/>
      <c r="H7" s="37"/>
      <c r="I7" s="126" t="s">
        <v>233</v>
      </c>
      <c r="J7" s="125">
        <v>96</v>
      </c>
      <c r="K7" s="129" t="s">
        <v>234</v>
      </c>
      <c r="M7" s="25" t="s">
        <v>13</v>
      </c>
      <c r="N7" s="26">
        <v>19.899999999999999</v>
      </c>
      <c r="P7" s="6" t="s">
        <v>21</v>
      </c>
      <c r="Q7" s="85">
        <v>78.34</v>
      </c>
      <c r="R7" s="5">
        <v>45960</v>
      </c>
      <c r="S7" s="8" t="s">
        <v>67</v>
      </c>
      <c r="T7" s="37"/>
      <c r="U7" s="37"/>
      <c r="V7" s="52"/>
    </row>
    <row r="8" spans="2:22" ht="15.75" customHeight="1" x14ac:dyDescent="0.2">
      <c r="B8" s="344"/>
      <c r="C8" s="41">
        <v>412</v>
      </c>
      <c r="D8" s="37"/>
      <c r="E8" s="97" t="s">
        <v>19</v>
      </c>
      <c r="F8" s="101">
        <v>60</v>
      </c>
      <c r="H8" s="37"/>
      <c r="I8" s="126" t="s">
        <v>39</v>
      </c>
      <c r="J8" s="125">
        <v>0</v>
      </c>
      <c r="K8" s="129" t="s">
        <v>39</v>
      </c>
      <c r="M8" s="25" t="s">
        <v>17</v>
      </c>
      <c r="N8" s="26">
        <v>7</v>
      </c>
      <c r="P8" s="6" t="s">
        <v>35</v>
      </c>
      <c r="Q8" s="85">
        <v>87</v>
      </c>
      <c r="R8" s="5">
        <v>45960</v>
      </c>
      <c r="S8" s="8" t="s">
        <v>235</v>
      </c>
      <c r="T8" s="37"/>
      <c r="U8" s="37"/>
      <c r="V8" s="52"/>
    </row>
    <row r="9" spans="2:22" ht="15.75" customHeight="1" x14ac:dyDescent="0.2">
      <c r="B9" s="153" t="s">
        <v>53</v>
      </c>
      <c r="C9" s="154">
        <v>0</v>
      </c>
      <c r="D9" s="37"/>
      <c r="E9" s="97" t="s">
        <v>21</v>
      </c>
      <c r="F9" s="101">
        <v>200</v>
      </c>
      <c r="H9" s="37"/>
      <c r="I9" s="126" t="s">
        <v>39</v>
      </c>
      <c r="J9" s="125">
        <v>0</v>
      </c>
      <c r="K9" s="129" t="s">
        <v>39</v>
      </c>
      <c r="M9" s="31" t="s">
        <v>20</v>
      </c>
      <c r="N9" s="32">
        <f>SUM(N3:N8)</f>
        <v>93.6</v>
      </c>
      <c r="P9" s="6" t="s">
        <v>59</v>
      </c>
      <c r="Q9" s="85">
        <f>2*2.99</f>
        <v>5.98</v>
      </c>
      <c r="R9" s="5">
        <v>45960</v>
      </c>
      <c r="S9" s="8" t="s">
        <v>238</v>
      </c>
      <c r="T9" s="37"/>
      <c r="U9" s="37"/>
      <c r="V9" s="52"/>
    </row>
    <row r="10" spans="2:22" ht="15.75" customHeight="1" x14ac:dyDescent="0.2">
      <c r="B10" s="153" t="s">
        <v>171</v>
      </c>
      <c r="C10" s="154">
        <v>3</v>
      </c>
      <c r="D10" s="37"/>
      <c r="E10" s="97" t="s">
        <v>22</v>
      </c>
      <c r="F10" s="101">
        <v>60</v>
      </c>
      <c r="H10" s="37"/>
      <c r="I10" s="132" t="s">
        <v>20</v>
      </c>
      <c r="J10" s="133">
        <f>SUM(J3:J9)</f>
        <v>526.48</v>
      </c>
      <c r="K10" s="135" t="s">
        <v>39</v>
      </c>
      <c r="N10" s="37"/>
      <c r="O10" s="37"/>
      <c r="P10" s="9" t="s">
        <v>35</v>
      </c>
      <c r="Q10" s="85">
        <v>7.93</v>
      </c>
      <c r="R10" s="5">
        <v>45960</v>
      </c>
      <c r="S10" s="8" t="s">
        <v>52</v>
      </c>
      <c r="T10" s="37"/>
      <c r="U10" s="37"/>
      <c r="V10" s="52"/>
    </row>
    <row r="11" spans="2:22" ht="16.5" x14ac:dyDescent="0.2">
      <c r="B11" s="153" t="s">
        <v>55</v>
      </c>
      <c r="C11" s="154"/>
      <c r="D11" s="37"/>
      <c r="E11" s="97" t="s">
        <v>23</v>
      </c>
      <c r="F11" s="101">
        <v>800</v>
      </c>
      <c r="H11" s="37"/>
      <c r="M11" s="341" t="s">
        <v>40</v>
      </c>
      <c r="N11" s="342"/>
      <c r="P11" s="6" t="s">
        <v>58</v>
      </c>
      <c r="Q11" s="85">
        <v>29.94</v>
      </c>
      <c r="R11" s="5">
        <v>45961</v>
      </c>
      <c r="S11" s="8" t="s">
        <v>242</v>
      </c>
      <c r="T11" s="37"/>
      <c r="U11" s="37"/>
      <c r="V11" s="52"/>
    </row>
    <row r="12" spans="2:22" ht="16.5" x14ac:dyDescent="0.2">
      <c r="B12" s="346" t="s">
        <v>20</v>
      </c>
      <c r="C12" s="347">
        <f>SUM(C3:C9,C11)</f>
        <v>7451.82</v>
      </c>
      <c r="D12" s="37"/>
      <c r="E12" s="97" t="s">
        <v>24</v>
      </c>
      <c r="F12" s="101">
        <f>N9</f>
        <v>93.6</v>
      </c>
      <c r="H12" s="37"/>
      <c r="I12" s="69"/>
      <c r="M12" s="27" t="s">
        <v>41</v>
      </c>
      <c r="N12" s="38">
        <v>15000</v>
      </c>
      <c r="P12" s="6" t="s">
        <v>59</v>
      </c>
      <c r="Q12" s="85">
        <v>24.9</v>
      </c>
      <c r="R12" s="5">
        <v>45961</v>
      </c>
      <c r="S12" s="8" t="s">
        <v>241</v>
      </c>
      <c r="T12" s="37"/>
      <c r="U12" s="37"/>
      <c r="V12" s="52"/>
    </row>
    <row r="13" spans="2:22" ht="16.5" x14ac:dyDescent="0.2">
      <c r="B13" s="344"/>
      <c r="C13" s="348"/>
      <c r="D13" s="37"/>
      <c r="E13" s="99" t="s">
        <v>20</v>
      </c>
      <c r="F13" s="102">
        <f>SUM(F3:F12)</f>
        <v>3061.6</v>
      </c>
      <c r="H13" s="37"/>
      <c r="M13" s="28" t="s">
        <v>42</v>
      </c>
      <c r="N13" s="39">
        <f>SUM('Mês 08'!F24+'Mês 09'!F24+'Mês 10'!F24+'Mês 11'!F24+'Mês 10'!C10)+500</f>
        <v>5594.4119999999994</v>
      </c>
      <c r="P13" s="6" t="s">
        <v>33</v>
      </c>
      <c r="Q13" s="85">
        <f>45.98+13</f>
        <v>58.98</v>
      </c>
      <c r="R13" s="5">
        <v>45961</v>
      </c>
      <c r="S13" s="8" t="s">
        <v>240</v>
      </c>
      <c r="T13" s="37"/>
      <c r="U13" s="37"/>
      <c r="V13" s="52"/>
    </row>
    <row r="14" spans="2:22" ht="16.5" x14ac:dyDescent="0.2">
      <c r="B14" s="37"/>
      <c r="C14" s="37"/>
      <c r="D14" s="37"/>
      <c r="E14" s="37"/>
      <c r="F14" s="37"/>
      <c r="H14" s="37"/>
      <c r="I14" s="96"/>
      <c r="M14" s="29" t="s">
        <v>64</v>
      </c>
      <c r="N14" s="40">
        <f>N12-N13</f>
        <v>9405.5879999999997</v>
      </c>
      <c r="P14" s="6" t="s">
        <v>50</v>
      </c>
      <c r="Q14" s="85">
        <f>309.71-Q13+13-Q12-Q11</f>
        <v>208.89000000000001</v>
      </c>
      <c r="R14" s="5">
        <v>45961</v>
      </c>
      <c r="S14" s="8" t="s">
        <v>220</v>
      </c>
      <c r="T14" s="37"/>
      <c r="U14" s="37"/>
      <c r="V14" s="52"/>
    </row>
    <row r="15" spans="2:22" ht="12.75" x14ac:dyDescent="0.2">
      <c r="B15" s="43"/>
      <c r="C15" s="43"/>
      <c r="D15" s="43"/>
      <c r="E15" s="44"/>
      <c r="F15" s="70"/>
      <c r="G15" s="37"/>
      <c r="H15" s="37"/>
      <c r="N15" s="37"/>
      <c r="O15" s="37"/>
      <c r="P15" s="6" t="s">
        <v>19</v>
      </c>
      <c r="Q15" s="85">
        <v>22.9</v>
      </c>
      <c r="R15" s="5">
        <v>45961</v>
      </c>
      <c r="S15" s="8" t="s">
        <v>243</v>
      </c>
      <c r="T15" s="37"/>
      <c r="U15" s="37"/>
      <c r="V15" s="52"/>
    </row>
    <row r="16" spans="2:22" ht="12.75" x14ac:dyDescent="0.2">
      <c r="B16" s="335" t="s">
        <v>239</v>
      </c>
      <c r="C16" s="337">
        <f>C12-F13-J10</f>
        <v>3863.7399999999993</v>
      </c>
      <c r="D16" s="43"/>
      <c r="E16" s="71"/>
      <c r="F16" s="72"/>
      <c r="G16" s="44"/>
      <c r="H16" s="44"/>
      <c r="N16" s="37"/>
      <c r="O16" s="37"/>
      <c r="P16" s="6" t="s">
        <v>35</v>
      </c>
      <c r="Q16" s="85">
        <v>10</v>
      </c>
      <c r="R16" s="5">
        <v>45961</v>
      </c>
      <c r="S16" s="8" t="s">
        <v>244</v>
      </c>
      <c r="T16" s="37"/>
      <c r="U16" s="37"/>
      <c r="V16" s="52"/>
    </row>
    <row r="17" spans="2:22" ht="12.75" x14ac:dyDescent="0.2">
      <c r="B17" s="336"/>
      <c r="C17" s="336"/>
      <c r="D17" s="43"/>
      <c r="E17" s="70"/>
      <c r="F17" s="69"/>
      <c r="G17" s="44"/>
      <c r="H17" s="44"/>
      <c r="K17" s="96"/>
      <c r="N17" s="37"/>
      <c r="P17" s="9" t="s">
        <v>58</v>
      </c>
      <c r="Q17" s="85">
        <v>26.9</v>
      </c>
      <c r="R17" s="5">
        <v>45962</v>
      </c>
      <c r="S17" s="8" t="s">
        <v>246</v>
      </c>
      <c r="T17" s="37"/>
      <c r="U17" s="37"/>
      <c r="V17" s="52"/>
    </row>
    <row r="18" spans="2:22" ht="12.75" customHeight="1" x14ac:dyDescent="0.2">
      <c r="B18" s="43"/>
      <c r="C18" s="43"/>
      <c r="D18" s="43"/>
      <c r="F18" s="69"/>
      <c r="I18" s="51"/>
      <c r="J18" s="51"/>
      <c r="K18" s="51"/>
      <c r="L18" s="37"/>
      <c r="M18" s="37"/>
      <c r="N18" s="37"/>
      <c r="P18" s="6" t="s">
        <v>35</v>
      </c>
      <c r="Q18" s="85">
        <v>18.079999999999998</v>
      </c>
      <c r="R18" s="5">
        <v>45962</v>
      </c>
      <c r="S18" s="8" t="s">
        <v>158</v>
      </c>
      <c r="T18" s="37"/>
      <c r="U18" s="37"/>
      <c r="V18" s="52"/>
    </row>
    <row r="19" spans="2:22" ht="12.75" x14ac:dyDescent="0.2">
      <c r="J19" s="37"/>
      <c r="K19" s="37"/>
      <c r="L19" s="37"/>
      <c r="M19" s="37"/>
      <c r="N19" s="37"/>
      <c r="P19" s="6" t="s">
        <v>33</v>
      </c>
      <c r="Q19" s="85">
        <f>206-72</f>
        <v>134</v>
      </c>
      <c r="R19" s="5">
        <v>45963</v>
      </c>
      <c r="S19" s="8" t="s">
        <v>247</v>
      </c>
      <c r="T19" s="37"/>
      <c r="U19" s="37"/>
      <c r="V19" s="52"/>
    </row>
    <row r="20" spans="2:22" ht="12.75" x14ac:dyDescent="0.2">
      <c r="B20" s="37"/>
      <c r="C20" s="37"/>
      <c r="D20" s="37"/>
      <c r="J20" s="37"/>
      <c r="K20" s="37"/>
      <c r="L20" s="37"/>
      <c r="M20" s="37"/>
      <c r="N20" s="37"/>
      <c r="P20" s="6" t="s">
        <v>58</v>
      </c>
      <c r="Q20" s="85">
        <v>13.17</v>
      </c>
      <c r="R20" s="5">
        <v>45964</v>
      </c>
      <c r="S20" s="8" t="s">
        <v>249</v>
      </c>
    </row>
    <row r="21" spans="2:22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6" t="s">
        <v>58</v>
      </c>
      <c r="Q21" s="85">
        <v>10</v>
      </c>
      <c r="R21" s="5">
        <v>45964</v>
      </c>
      <c r="S21" s="8" t="s">
        <v>250</v>
      </c>
    </row>
    <row r="22" spans="2:22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79">
        <f>SUMIFS(Q3:Q111,P3:P111,"Casa")</f>
        <v>212.81</v>
      </c>
      <c r="K22" s="345" t="str">
        <f>IF(J28&gt;=200,"ATENÇÃO AO GASTO EXTRA R$ " &amp; SUM(J28), "GASTO COM EXTRA OK !")</f>
        <v>ATENÇÃO AO GASTO EXTRA R$ 1053,633</v>
      </c>
      <c r="L22" s="345"/>
      <c r="M22" s="345"/>
      <c r="N22" s="345"/>
      <c r="P22" s="6" t="s">
        <v>33</v>
      </c>
      <c r="Q22" s="85">
        <v>21.5</v>
      </c>
      <c r="R22" s="5">
        <v>45964</v>
      </c>
      <c r="S22" s="8" t="s">
        <v>253</v>
      </c>
    </row>
    <row r="23" spans="2:22" ht="15.75" customHeight="1" x14ac:dyDescent="0.2">
      <c r="B23" s="3" t="s">
        <v>31</v>
      </c>
      <c r="C23" s="46">
        <v>1000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79">
        <f>SUMIFS(Q3:Q107,P3:P107,"Lazer")</f>
        <v>799.52</v>
      </c>
      <c r="K23" s="345"/>
      <c r="L23" s="345"/>
      <c r="M23" s="345"/>
      <c r="N23" s="345"/>
      <c r="P23" s="6" t="s">
        <v>58</v>
      </c>
      <c r="Q23" s="85">
        <v>19.98</v>
      </c>
      <c r="R23" s="5">
        <v>45965</v>
      </c>
      <c r="S23" s="8" t="s">
        <v>78</v>
      </c>
    </row>
    <row r="24" spans="2:22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f>C23</f>
        <v>1000</v>
      </c>
      <c r="G24" s="134">
        <f>SUM(Tabela615166121825[[#This Row],[Valores]]+Tabela6151661218[[#This Row],[Acumulado]])</f>
        <v>5091.4119999999994</v>
      </c>
      <c r="H24" s="2"/>
      <c r="I24" s="6" t="s">
        <v>34</v>
      </c>
      <c r="J24" s="79">
        <f>SUMIFS(Q3:Q107,P3:P107,"Roupas")</f>
        <v>0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6" t="s">
        <v>35</v>
      </c>
      <c r="Q24" s="85">
        <v>60</v>
      </c>
      <c r="R24" s="5">
        <v>45965</v>
      </c>
      <c r="S24" s="8" t="s">
        <v>248</v>
      </c>
    </row>
    <row r="25" spans="2:22" ht="15.75" customHeight="1" x14ac:dyDescent="0.2">
      <c r="B25" s="3" t="s">
        <v>33</v>
      </c>
      <c r="C25" s="46">
        <v>700</v>
      </c>
      <c r="D25" s="43"/>
      <c r="E25" s="54" t="s">
        <v>32</v>
      </c>
      <c r="F25" s="55">
        <f>C24-J22</f>
        <v>-12.810000000000002</v>
      </c>
      <c r="G25" s="134">
        <f>SUM(Tabela615166121825[[#This Row],[Valores]]+Tabela6151661218[[#This Row],[Acumulado]])</f>
        <v>512.19000000000005</v>
      </c>
      <c r="H25" s="2"/>
      <c r="I25" s="6" t="s">
        <v>19</v>
      </c>
      <c r="J25" s="79">
        <f>SUMIFS(Q3:Q107,P3:P107,"Nesco")</f>
        <v>77.25</v>
      </c>
      <c r="K25" s="334"/>
      <c r="L25" s="334"/>
      <c r="M25" s="334"/>
      <c r="N25" s="334"/>
      <c r="P25" s="6" t="s">
        <v>19</v>
      </c>
      <c r="Q25" s="85">
        <v>35.200000000000003</v>
      </c>
      <c r="R25" s="5">
        <v>45965</v>
      </c>
      <c r="S25" s="8" t="s">
        <v>74</v>
      </c>
    </row>
    <row r="26" spans="2:22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</f>
        <v>-99.519999999999982</v>
      </c>
      <c r="G26" s="134">
        <f>SUM(Tabela615166121825[[#This Row],[Valores]]+Tabela6151661218[[#This Row],[Acumulado]])</f>
        <v>-118.97000000000008</v>
      </c>
      <c r="H26" s="2"/>
      <c r="I26" s="6" t="s">
        <v>21</v>
      </c>
      <c r="J26" s="79">
        <f>SUMIFS(Q3:Q109,P3:P109,"Gasolina / Óleo")</f>
        <v>317.35000000000002</v>
      </c>
      <c r="P26" s="6" t="s">
        <v>35</v>
      </c>
      <c r="Q26" s="85">
        <v>15.11</v>
      </c>
      <c r="R26" s="5">
        <v>45965</v>
      </c>
      <c r="S26" s="8" t="s">
        <v>52</v>
      </c>
    </row>
    <row r="27" spans="2:22" ht="15.75" customHeight="1" x14ac:dyDescent="0.2">
      <c r="B27" s="13" t="s">
        <v>35</v>
      </c>
      <c r="C27" s="46">
        <f>C16-SUM(C23:C26)-SUM(C31:C32)-100</f>
        <v>1063.7399999999993</v>
      </c>
      <c r="D27" s="43"/>
      <c r="E27" s="54" t="s">
        <v>34</v>
      </c>
      <c r="F27" s="55">
        <f>C26-J24</f>
        <v>200</v>
      </c>
      <c r="G27" s="134">
        <f>SUM(Tabela615166121825[[#This Row],[Valores]]+Tabela6151661218[[#This Row],[Acumulado]])</f>
        <v>390.04</v>
      </c>
      <c r="H27" s="2"/>
      <c r="I27" s="6" t="s">
        <v>50</v>
      </c>
      <c r="J27" s="79">
        <f>SUMIFS(Q3:Q109,P3:P109,"Compras do Mês")</f>
        <v>1040.8599999999999</v>
      </c>
      <c r="P27" s="6" t="s">
        <v>35</v>
      </c>
      <c r="Q27" s="85">
        <v>16.739999999999998</v>
      </c>
      <c r="R27" s="5">
        <v>45965</v>
      </c>
      <c r="S27" s="8" t="s">
        <v>100</v>
      </c>
    </row>
    <row r="28" spans="2:22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-25.639999999999986</v>
      </c>
      <c r="G28" s="134">
        <f>SUM(Tabela615166121825[[#This Row],[Valores]]+Tabela6151661218[[#This Row],[Acumulado]])</f>
        <v>-72.350000000000108</v>
      </c>
      <c r="H28" s="2"/>
      <c r="I28" s="6" t="s">
        <v>35</v>
      </c>
      <c r="J28" s="79">
        <f>SUMIFS(Q3:Q109,P3:P109,"Extras")</f>
        <v>1053.633</v>
      </c>
      <c r="P28" s="6" t="s">
        <v>59</v>
      </c>
      <c r="Q28" s="85">
        <v>20.48</v>
      </c>
      <c r="R28" s="5">
        <v>45965</v>
      </c>
      <c r="S28" s="8" t="s">
        <v>78</v>
      </c>
    </row>
    <row r="29" spans="2:22" ht="15.75" customHeight="1" x14ac:dyDescent="0.2">
      <c r="B29" s="12" t="s">
        <v>21</v>
      </c>
      <c r="C29" s="48">
        <v>300</v>
      </c>
      <c r="D29" s="43"/>
      <c r="E29" s="56" t="s">
        <v>58</v>
      </c>
      <c r="F29" s="57">
        <f>C32-J30</f>
        <v>-26.740000000000009</v>
      </c>
      <c r="G29" s="134">
        <f>SUM(Tabela615166121825[[#This Row],[Valores]]+Tabela6151661218[[#This Row],[Acumulado]])</f>
        <v>3.3599999999999284</v>
      </c>
      <c r="H29" s="2"/>
      <c r="I29" s="6" t="s">
        <v>59</v>
      </c>
      <c r="J29" s="81">
        <f>SUMIFS(Q3:Q109,P3:P109,"Bobeirinhas V")</f>
        <v>325.64</v>
      </c>
      <c r="P29" s="6" t="s">
        <v>35</v>
      </c>
      <c r="Q29" s="85">
        <v>7.55</v>
      </c>
      <c r="R29" s="5">
        <v>45967</v>
      </c>
      <c r="S29" s="8" t="s">
        <v>52</v>
      </c>
    </row>
    <row r="30" spans="2:22" ht="15.75" customHeight="1" x14ac:dyDescent="0.2">
      <c r="B30" s="13" t="s">
        <v>50</v>
      </c>
      <c r="C30" s="47">
        <v>800</v>
      </c>
      <c r="D30" s="43"/>
      <c r="E30" s="58" t="s">
        <v>35</v>
      </c>
      <c r="F30" s="59">
        <f>C27-J28</f>
        <v>10.106999999999289</v>
      </c>
      <c r="G30" s="134">
        <f>SUM(Tabela615166121825[[#This Row],[Valores]]+Tabela6151661218[[#This Row],[Acumulado]])</f>
        <v>48.234999999998195</v>
      </c>
      <c r="H30" s="2"/>
      <c r="I30" s="9" t="s">
        <v>58</v>
      </c>
      <c r="J30" s="80">
        <f>SUMIFS(Q3:Q109,P3:P109,"Bobeirinhas J")</f>
        <v>326.74</v>
      </c>
      <c r="P30" s="6" t="s">
        <v>59</v>
      </c>
      <c r="Q30" s="85">
        <v>6</v>
      </c>
      <c r="R30" s="5">
        <v>45967</v>
      </c>
      <c r="S30" s="8" t="s">
        <v>251</v>
      </c>
    </row>
    <row r="31" spans="2:22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-17.25</v>
      </c>
      <c r="G31" s="134">
        <f>SUM(Tabela615166121825[[#This Row],[Valores]]+Tabela6151661218[[#This Row],[Acumulado]])</f>
        <v>8.0500000000000043</v>
      </c>
      <c r="H31" s="2"/>
      <c r="J31" s="96"/>
      <c r="N31" s="96"/>
      <c r="P31" s="6" t="s">
        <v>59</v>
      </c>
      <c r="Q31" s="85">
        <v>19.96</v>
      </c>
      <c r="R31" s="5">
        <v>45967</v>
      </c>
      <c r="S31" s="8" t="s">
        <v>252</v>
      </c>
    </row>
    <row r="32" spans="2:22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-17.350000000000023</v>
      </c>
      <c r="G32" s="134">
        <f>SUM(Tabela615166121825[[#This Row],[Valores]]+Tabela6151661218[[#This Row],[Acumulado]])</f>
        <v>-75.550000000000011</v>
      </c>
      <c r="H32" s="2"/>
      <c r="J32" s="37"/>
      <c r="P32" s="6" t="s">
        <v>50</v>
      </c>
      <c r="Q32" s="85">
        <v>102.32</v>
      </c>
      <c r="R32" s="5">
        <v>45967</v>
      </c>
      <c r="S32" s="8" t="s">
        <v>138</v>
      </c>
    </row>
    <row r="33" spans="2:22" ht="15.75" customHeight="1" x14ac:dyDescent="0.2">
      <c r="B33" s="73"/>
      <c r="C33" s="74"/>
      <c r="D33" s="43"/>
      <c r="E33" s="58" t="s">
        <v>50</v>
      </c>
      <c r="F33" s="61">
        <f>C30-J27</f>
        <v>-240.8599999999999</v>
      </c>
      <c r="G33" s="134">
        <f>SUM(Tabela615166121825[[#This Row],[Valores]]+Tabela6151661218[[#This Row],[Acumulado]])</f>
        <v>-372.94999999999982</v>
      </c>
      <c r="H33" s="2"/>
      <c r="J33" s="96"/>
      <c r="M33" s="109"/>
      <c r="P33" s="6" t="s">
        <v>35</v>
      </c>
      <c r="Q33" s="85">
        <v>8.51</v>
      </c>
      <c r="R33" s="5">
        <v>45968</v>
      </c>
      <c r="S33" s="8" t="s">
        <v>52</v>
      </c>
    </row>
    <row r="34" spans="2:22" ht="15.75" customHeight="1" x14ac:dyDescent="0.35">
      <c r="B34" s="44"/>
      <c r="C34" s="44"/>
      <c r="D34" s="43"/>
      <c r="E34" s="43"/>
      <c r="F34" s="43"/>
      <c r="G34" s="141"/>
      <c r="H34" s="2"/>
      <c r="I34" s="155"/>
      <c r="P34" s="6" t="s">
        <v>59</v>
      </c>
      <c r="Q34" s="85">
        <v>20</v>
      </c>
      <c r="R34" s="5">
        <v>45969</v>
      </c>
      <c r="S34" s="8" t="s">
        <v>254</v>
      </c>
    </row>
    <row r="35" spans="2:22" ht="15.75" customHeight="1" x14ac:dyDescent="0.2">
      <c r="B35" s="37"/>
      <c r="C35" s="37"/>
      <c r="D35" s="37"/>
      <c r="E35" s="76" t="s">
        <v>79</v>
      </c>
      <c r="F35" s="77">
        <f>SUM(F24:F30)</f>
        <v>1045.3969999999995</v>
      </c>
      <c r="G35" s="70"/>
      <c r="J35" s="69"/>
      <c r="K35" s="69"/>
      <c r="P35" s="6" t="s">
        <v>33</v>
      </c>
      <c r="Q35" s="85">
        <v>119</v>
      </c>
      <c r="R35" s="5">
        <v>45969</v>
      </c>
      <c r="S35" s="8" t="s">
        <v>259</v>
      </c>
    </row>
    <row r="36" spans="2:22" ht="15.75" customHeight="1" x14ac:dyDescent="0.2">
      <c r="C36" s="69"/>
      <c r="F36" s="69"/>
      <c r="P36" s="6" t="s">
        <v>33</v>
      </c>
      <c r="Q36" s="85">
        <v>50</v>
      </c>
      <c r="R36" s="5">
        <v>45969</v>
      </c>
      <c r="S36" s="8" t="s">
        <v>257</v>
      </c>
    </row>
    <row r="37" spans="2:22" ht="12.75" customHeight="1" x14ac:dyDescent="0.35">
      <c r="F37" s="109"/>
      <c r="I37" s="155"/>
      <c r="J37" s="69"/>
      <c r="P37" s="6" t="s">
        <v>33</v>
      </c>
      <c r="Q37" s="85">
        <f>90+15</f>
        <v>105</v>
      </c>
      <c r="R37" s="5">
        <v>45969</v>
      </c>
      <c r="S37" s="8" t="s">
        <v>258</v>
      </c>
    </row>
    <row r="38" spans="2:22" ht="13.5" customHeight="1" x14ac:dyDescent="0.2">
      <c r="P38" s="6" t="s">
        <v>59</v>
      </c>
      <c r="Q38" s="85">
        <v>16.5</v>
      </c>
      <c r="R38" s="5">
        <v>45970</v>
      </c>
      <c r="S38" s="8" t="s">
        <v>182</v>
      </c>
    </row>
    <row r="39" spans="2:22" ht="15.75" customHeight="1" x14ac:dyDescent="0.2">
      <c r="P39" s="6" t="s">
        <v>50</v>
      </c>
      <c r="Q39" s="85">
        <v>125.95</v>
      </c>
      <c r="R39" s="5">
        <v>45971</v>
      </c>
      <c r="S39" s="8" t="s">
        <v>255</v>
      </c>
    </row>
    <row r="40" spans="2:22" ht="15.75" customHeight="1" x14ac:dyDescent="0.2">
      <c r="P40" s="6" t="s">
        <v>35</v>
      </c>
      <c r="Q40" s="85">
        <v>7.97</v>
      </c>
      <c r="R40" s="5">
        <v>45971</v>
      </c>
      <c r="S40" s="8" t="s">
        <v>256</v>
      </c>
    </row>
    <row r="41" spans="2:22" ht="15.75" customHeight="1" x14ac:dyDescent="0.2">
      <c r="N41" s="69"/>
      <c r="P41" s="6" t="s">
        <v>58</v>
      </c>
      <c r="Q41" s="85">
        <v>16.8</v>
      </c>
      <c r="R41" s="5">
        <v>45971</v>
      </c>
      <c r="S41" s="8" t="s">
        <v>264</v>
      </c>
    </row>
    <row r="42" spans="2:22" ht="15.75" customHeight="1" x14ac:dyDescent="0.2">
      <c r="P42" s="6" t="s">
        <v>35</v>
      </c>
      <c r="Q42" s="85">
        <v>15</v>
      </c>
      <c r="R42" s="5">
        <v>45971</v>
      </c>
      <c r="S42" s="8" t="s">
        <v>263</v>
      </c>
    </row>
    <row r="43" spans="2:22" ht="15.75" customHeight="1" x14ac:dyDescent="0.2">
      <c r="P43" s="6" t="s">
        <v>50</v>
      </c>
      <c r="Q43" s="85">
        <v>9</v>
      </c>
      <c r="R43" s="5">
        <v>45972</v>
      </c>
      <c r="S43" s="8" t="s">
        <v>262</v>
      </c>
    </row>
    <row r="44" spans="2:22" ht="15.75" customHeight="1" x14ac:dyDescent="0.2">
      <c r="P44" s="6" t="s">
        <v>21</v>
      </c>
      <c r="Q44" s="85">
        <v>73.09</v>
      </c>
      <c r="R44" s="5">
        <v>45972</v>
      </c>
      <c r="S44" s="8" t="s">
        <v>223</v>
      </c>
    </row>
    <row r="45" spans="2:22" ht="15.75" customHeight="1" x14ac:dyDescent="0.2">
      <c r="P45" s="6" t="s">
        <v>50</v>
      </c>
      <c r="Q45" s="85">
        <v>143.41</v>
      </c>
      <c r="R45" s="5">
        <v>45974</v>
      </c>
      <c r="S45" s="8" t="s">
        <v>237</v>
      </c>
    </row>
    <row r="46" spans="2:22" ht="15.75" customHeight="1" x14ac:dyDescent="0.2">
      <c r="P46" s="6" t="s">
        <v>59</v>
      </c>
      <c r="Q46" s="85">
        <v>2.4</v>
      </c>
      <c r="R46" s="5">
        <v>45974</v>
      </c>
      <c r="S46" s="8" t="s">
        <v>265</v>
      </c>
    </row>
    <row r="47" spans="2:22" ht="15.75" customHeight="1" x14ac:dyDescent="0.2">
      <c r="P47" s="6" t="s">
        <v>35</v>
      </c>
      <c r="Q47" s="85">
        <v>7.95</v>
      </c>
      <c r="R47" s="5">
        <v>45974</v>
      </c>
      <c r="S47" s="8" t="s">
        <v>209</v>
      </c>
    </row>
    <row r="48" spans="2:22" ht="15.75" customHeight="1" x14ac:dyDescent="0.2">
      <c r="P48" s="6" t="s">
        <v>50</v>
      </c>
      <c r="Q48" s="85">
        <v>30.15</v>
      </c>
      <c r="R48" s="5">
        <v>45974</v>
      </c>
      <c r="S48" s="8" t="s">
        <v>220</v>
      </c>
      <c r="V48" s="51"/>
    </row>
    <row r="49" spans="13:22" ht="15" customHeight="1" x14ac:dyDescent="0.2">
      <c r="N49" s="96"/>
      <c r="P49" s="6" t="s">
        <v>59</v>
      </c>
      <c r="Q49" s="85">
        <v>21.9</v>
      </c>
      <c r="R49" s="5">
        <v>45974</v>
      </c>
      <c r="S49" s="8" t="s">
        <v>267</v>
      </c>
      <c r="T49" s="51"/>
      <c r="U49" s="51"/>
      <c r="V49" s="51"/>
    </row>
    <row r="50" spans="13:22" ht="15.75" customHeight="1" x14ac:dyDescent="0.2">
      <c r="O50" s="96"/>
      <c r="P50" s="6" t="s">
        <v>32</v>
      </c>
      <c r="Q50" s="85">
        <v>212.81</v>
      </c>
      <c r="R50" s="5">
        <v>45975</v>
      </c>
      <c r="S50" s="8" t="s">
        <v>260</v>
      </c>
    </row>
    <row r="51" spans="13:22" ht="15.75" customHeight="1" x14ac:dyDescent="0.2">
      <c r="P51" s="6" t="s">
        <v>35</v>
      </c>
      <c r="Q51" s="85">
        <v>22.25</v>
      </c>
      <c r="R51" s="5">
        <v>45975</v>
      </c>
      <c r="S51" s="8" t="s">
        <v>266</v>
      </c>
    </row>
    <row r="52" spans="13:22" ht="15.75" customHeight="1" x14ac:dyDescent="0.2">
      <c r="P52" s="6" t="s">
        <v>59</v>
      </c>
      <c r="Q52" s="85">
        <v>20.03</v>
      </c>
      <c r="R52" s="5">
        <v>45975</v>
      </c>
      <c r="S52" s="8" t="s">
        <v>268</v>
      </c>
    </row>
    <row r="53" spans="13:22" ht="15.75" customHeight="1" x14ac:dyDescent="0.2">
      <c r="P53" s="6" t="s">
        <v>59</v>
      </c>
      <c r="Q53" s="85">
        <v>11</v>
      </c>
      <c r="R53" s="5">
        <v>45975</v>
      </c>
      <c r="S53" s="8" t="s">
        <v>269</v>
      </c>
    </row>
    <row r="54" spans="13:22" ht="15.75" customHeight="1" x14ac:dyDescent="0.2">
      <c r="P54" s="6" t="s">
        <v>33</v>
      </c>
      <c r="Q54" s="85">
        <v>5</v>
      </c>
      <c r="R54" s="5">
        <v>45975</v>
      </c>
      <c r="S54" s="8" t="s">
        <v>144</v>
      </c>
    </row>
    <row r="55" spans="13:22" ht="15.75" customHeight="1" x14ac:dyDescent="0.2">
      <c r="P55" s="6" t="s">
        <v>50</v>
      </c>
      <c r="Q55" s="85">
        <v>16.760000000000002</v>
      </c>
      <c r="R55" s="5">
        <v>45976</v>
      </c>
      <c r="S55" s="8" t="s">
        <v>261</v>
      </c>
    </row>
    <row r="56" spans="13:22" ht="15.75" customHeight="1" x14ac:dyDescent="0.2">
      <c r="P56" s="6" t="s">
        <v>50</v>
      </c>
      <c r="Q56" s="85">
        <f>92.2-Q57</f>
        <v>30.600000000000009</v>
      </c>
      <c r="R56" s="5">
        <v>45976</v>
      </c>
      <c r="S56" s="8" t="s">
        <v>272</v>
      </c>
    </row>
    <row r="57" spans="13:22" ht="15.75" customHeight="1" x14ac:dyDescent="0.2">
      <c r="P57" s="6" t="s">
        <v>270</v>
      </c>
      <c r="Q57" s="85">
        <f>25+16.8+11+8.8</f>
        <v>61.599999999999994</v>
      </c>
      <c r="R57" s="5">
        <v>45976</v>
      </c>
      <c r="S57" s="8" t="s">
        <v>271</v>
      </c>
    </row>
    <row r="58" spans="13:22" ht="15.75" customHeight="1" x14ac:dyDescent="0.2">
      <c r="P58" s="6" t="s">
        <v>58</v>
      </c>
      <c r="Q58" s="85">
        <v>13</v>
      </c>
      <c r="R58" s="5">
        <v>45977</v>
      </c>
      <c r="S58" s="8" t="s">
        <v>276</v>
      </c>
    </row>
    <row r="59" spans="13:22" ht="15.75" customHeight="1" x14ac:dyDescent="0.2">
      <c r="P59" s="6" t="s">
        <v>59</v>
      </c>
      <c r="Q59" s="85">
        <v>12</v>
      </c>
      <c r="R59" s="5">
        <v>45978</v>
      </c>
      <c r="S59" s="8" t="s">
        <v>81</v>
      </c>
    </row>
    <row r="60" spans="13:22" ht="15.75" customHeight="1" x14ac:dyDescent="0.2">
      <c r="P60" s="6" t="s">
        <v>33</v>
      </c>
      <c r="Q60" s="85">
        <v>56.1</v>
      </c>
      <c r="R60" s="5">
        <v>45978</v>
      </c>
      <c r="S60" s="8" t="s">
        <v>275</v>
      </c>
    </row>
    <row r="61" spans="13:22" ht="15.75" customHeight="1" x14ac:dyDescent="0.2">
      <c r="P61" s="6" t="s">
        <v>35</v>
      </c>
      <c r="Q61" s="85">
        <v>7.9829999999999997</v>
      </c>
      <c r="R61" s="5">
        <v>45978</v>
      </c>
      <c r="S61" s="8" t="s">
        <v>52</v>
      </c>
    </row>
    <row r="62" spans="13:22" ht="15.75" customHeight="1" x14ac:dyDescent="0.2">
      <c r="P62" s="6" t="s">
        <v>35</v>
      </c>
      <c r="Q62" s="85">
        <v>16</v>
      </c>
      <c r="R62" s="5">
        <v>45979</v>
      </c>
      <c r="S62" s="8" t="s">
        <v>274</v>
      </c>
    </row>
    <row r="63" spans="13:22" ht="15.75" customHeight="1" x14ac:dyDescent="0.2">
      <c r="M63" t="s">
        <v>39</v>
      </c>
      <c r="O63" t="s">
        <v>39</v>
      </c>
      <c r="P63" s="6" t="s">
        <v>50</v>
      </c>
      <c r="Q63" s="85">
        <v>85.19</v>
      </c>
      <c r="R63" s="5">
        <v>45979</v>
      </c>
      <c r="S63" s="8" t="s">
        <v>138</v>
      </c>
    </row>
    <row r="64" spans="13:22" ht="15.75" customHeight="1" x14ac:dyDescent="0.2">
      <c r="P64" s="6" t="s">
        <v>35</v>
      </c>
      <c r="Q64" s="85">
        <v>8.99</v>
      </c>
      <c r="R64" s="5">
        <v>45981</v>
      </c>
      <c r="S64" s="8" t="s">
        <v>52</v>
      </c>
    </row>
    <row r="65" spans="16:19" ht="15.75" customHeight="1" x14ac:dyDescent="0.2">
      <c r="P65" s="6" t="s">
        <v>59</v>
      </c>
      <c r="Q65" s="85">
        <v>2.4900000000000002</v>
      </c>
      <c r="R65" s="5">
        <v>45981</v>
      </c>
      <c r="S65" s="8" t="s">
        <v>279</v>
      </c>
    </row>
    <row r="66" spans="16:19" ht="15.75" customHeight="1" x14ac:dyDescent="0.2">
      <c r="P66" s="6" t="s">
        <v>35</v>
      </c>
      <c r="Q66" s="85">
        <v>6.89</v>
      </c>
      <c r="R66" s="5">
        <v>45982</v>
      </c>
      <c r="S66" s="8" t="s">
        <v>273</v>
      </c>
    </row>
    <row r="67" spans="16:19" ht="15.75" customHeight="1" x14ac:dyDescent="0.2">
      <c r="P67" s="6" t="s">
        <v>21</v>
      </c>
      <c r="Q67" s="85">
        <v>70.03</v>
      </c>
      <c r="R67" s="5">
        <v>45982</v>
      </c>
      <c r="S67" s="8" t="s">
        <v>67</v>
      </c>
    </row>
    <row r="68" spans="16:19" ht="15.75" customHeight="1" x14ac:dyDescent="0.2">
      <c r="P68" s="156" t="s">
        <v>50</v>
      </c>
      <c r="Q68" s="157">
        <v>163.49</v>
      </c>
      <c r="R68" s="158">
        <v>45982</v>
      </c>
      <c r="S68" s="159" t="s">
        <v>277</v>
      </c>
    </row>
    <row r="69" spans="16:19" ht="15.75" customHeight="1" x14ac:dyDescent="0.2">
      <c r="P69" s="156" t="s">
        <v>35</v>
      </c>
      <c r="Q69" s="157">
        <v>0</v>
      </c>
      <c r="R69" s="158">
        <v>45982</v>
      </c>
      <c r="S69" s="159" t="s">
        <v>278</v>
      </c>
    </row>
    <row r="70" spans="16:19" ht="15.75" customHeight="1" x14ac:dyDescent="0.2">
      <c r="P70" s="6" t="s">
        <v>33</v>
      </c>
      <c r="Q70" s="85">
        <v>19</v>
      </c>
      <c r="R70" s="5">
        <v>45982</v>
      </c>
      <c r="S70" s="8" t="s">
        <v>280</v>
      </c>
    </row>
    <row r="71" spans="16:19" ht="15.75" customHeight="1" x14ac:dyDescent="0.2">
      <c r="P71" s="6" t="s">
        <v>59</v>
      </c>
      <c r="Q71" s="85">
        <v>21</v>
      </c>
      <c r="R71" s="5">
        <v>45982</v>
      </c>
      <c r="S71" s="8" t="s">
        <v>281</v>
      </c>
    </row>
    <row r="72" spans="16:19" ht="15.75" customHeight="1" x14ac:dyDescent="0.2">
      <c r="P72" s="6" t="s">
        <v>58</v>
      </c>
      <c r="Q72" s="85">
        <v>18.8</v>
      </c>
      <c r="R72" s="5">
        <v>45982</v>
      </c>
      <c r="S72" s="8" t="s">
        <v>282</v>
      </c>
    </row>
    <row r="73" spans="16:19" ht="15.75" customHeight="1" x14ac:dyDescent="0.2">
      <c r="P73" s="6" t="s">
        <v>35</v>
      </c>
      <c r="Q73" s="85">
        <v>158</v>
      </c>
      <c r="R73" s="5">
        <v>45982</v>
      </c>
      <c r="S73" s="8" t="s">
        <v>283</v>
      </c>
    </row>
    <row r="74" spans="16:19" ht="15.75" customHeight="1" x14ac:dyDescent="0.2">
      <c r="P74" s="6" t="s">
        <v>58</v>
      </c>
      <c r="Q74" s="85">
        <v>18.989999999999998</v>
      </c>
      <c r="R74" s="5">
        <v>45982</v>
      </c>
      <c r="S74" s="8" t="s">
        <v>284</v>
      </c>
    </row>
    <row r="75" spans="16:19" ht="15.75" customHeight="1" x14ac:dyDescent="0.2">
      <c r="P75" s="6" t="s">
        <v>35</v>
      </c>
      <c r="Q75" s="85">
        <v>85</v>
      </c>
      <c r="R75" s="5">
        <v>45982</v>
      </c>
      <c r="S75" s="8" t="s">
        <v>285</v>
      </c>
    </row>
    <row r="76" spans="16:19" ht="15.75" customHeight="1" x14ac:dyDescent="0.2">
      <c r="P76" s="6" t="s">
        <v>21</v>
      </c>
      <c r="Q76" s="85">
        <v>20</v>
      </c>
      <c r="R76" s="5">
        <v>45982</v>
      </c>
      <c r="S76" s="8" t="s">
        <v>285</v>
      </c>
    </row>
    <row r="77" spans="16:19" ht="15.75" customHeight="1" x14ac:dyDescent="0.2">
      <c r="P77" s="6" t="s">
        <v>35</v>
      </c>
      <c r="Q77" s="85">
        <v>5</v>
      </c>
      <c r="R77" s="5">
        <v>45982</v>
      </c>
      <c r="S77" s="8" t="s">
        <v>144</v>
      </c>
    </row>
    <row r="78" spans="16:19" ht="15.75" customHeight="1" x14ac:dyDescent="0.2">
      <c r="P78" s="6" t="s">
        <v>58</v>
      </c>
      <c r="Q78" s="85">
        <v>7</v>
      </c>
      <c r="R78" s="5">
        <v>45982</v>
      </c>
      <c r="S78" s="8" t="s">
        <v>221</v>
      </c>
    </row>
    <row r="79" spans="16:19" ht="15.75" customHeight="1" x14ac:dyDescent="0.2">
      <c r="P79" s="6" t="s">
        <v>59</v>
      </c>
      <c r="Q79" s="85">
        <v>16.97</v>
      </c>
      <c r="R79" s="5">
        <v>45982</v>
      </c>
      <c r="S79" s="8" t="s">
        <v>286</v>
      </c>
    </row>
    <row r="80" spans="16:19" ht="15.75" customHeight="1" x14ac:dyDescent="0.2">
      <c r="P80" s="6" t="s">
        <v>33</v>
      </c>
      <c r="Q80" s="85">
        <v>23.1</v>
      </c>
      <c r="R80" s="5">
        <v>45983</v>
      </c>
      <c r="S80" s="8" t="s">
        <v>288</v>
      </c>
    </row>
    <row r="81" spans="16:19" ht="15.75" customHeight="1" x14ac:dyDescent="0.2">
      <c r="P81" s="6" t="s">
        <v>33</v>
      </c>
      <c r="Q81" s="85">
        <v>25.39</v>
      </c>
      <c r="R81" s="5">
        <v>45983</v>
      </c>
      <c r="S81" s="8" t="s">
        <v>289</v>
      </c>
    </row>
    <row r="82" spans="16:19" ht="15.75" customHeight="1" x14ac:dyDescent="0.2">
      <c r="P82" s="6" t="s">
        <v>59</v>
      </c>
      <c r="Q82" s="85">
        <v>31.68</v>
      </c>
      <c r="R82" s="5">
        <v>45983</v>
      </c>
      <c r="S82" s="8" t="s">
        <v>287</v>
      </c>
    </row>
    <row r="83" spans="16:19" ht="15.75" customHeight="1" x14ac:dyDescent="0.2">
      <c r="P83" s="6" t="s">
        <v>35</v>
      </c>
      <c r="Q83" s="85">
        <f>166.62-Q82</f>
        <v>134.94</v>
      </c>
      <c r="R83" s="5">
        <v>45983</v>
      </c>
      <c r="S83" s="8" t="s">
        <v>287</v>
      </c>
    </row>
    <row r="84" spans="16:19" ht="15.75" customHeight="1" x14ac:dyDescent="0.2">
      <c r="P84" s="6" t="s">
        <v>35</v>
      </c>
      <c r="Q84" s="85">
        <v>-60</v>
      </c>
      <c r="R84" s="5">
        <v>45984</v>
      </c>
      <c r="S84" s="8" t="s">
        <v>250</v>
      </c>
    </row>
    <row r="85" spans="16:19" ht="15.75" customHeight="1" x14ac:dyDescent="0.2">
      <c r="P85" s="6" t="s">
        <v>19</v>
      </c>
      <c r="Q85" s="85">
        <v>19.149999999999999</v>
      </c>
      <c r="R85" s="5">
        <v>45985</v>
      </c>
      <c r="S85" s="8" t="s">
        <v>74</v>
      </c>
    </row>
    <row r="86" spans="16:19" ht="15.75" customHeight="1" x14ac:dyDescent="0.2">
      <c r="P86" s="6" t="s">
        <v>35</v>
      </c>
      <c r="Q86" s="85">
        <v>163</v>
      </c>
      <c r="R86" s="5">
        <v>45985</v>
      </c>
      <c r="S86" s="8" t="s">
        <v>116</v>
      </c>
    </row>
    <row r="87" spans="16:19" ht="15.75" customHeight="1" x14ac:dyDescent="0.2">
      <c r="P87" s="6"/>
      <c r="Q87" s="85">
        <v>60</v>
      </c>
      <c r="R87" s="5">
        <v>45985</v>
      </c>
      <c r="S87" s="8" t="s">
        <v>290</v>
      </c>
    </row>
    <row r="88" spans="16:19" ht="15.75" customHeight="1" x14ac:dyDescent="0.2">
      <c r="P88" s="6" t="s">
        <v>35</v>
      </c>
      <c r="Q88" s="85">
        <v>7.99</v>
      </c>
      <c r="R88" s="5">
        <v>45985</v>
      </c>
      <c r="S88" s="8" t="s">
        <v>209</v>
      </c>
    </row>
    <row r="89" spans="16:19" ht="15.75" customHeight="1" x14ac:dyDescent="0.2">
      <c r="P89" s="6" t="s">
        <v>33</v>
      </c>
      <c r="Q89" s="85">
        <v>81</v>
      </c>
      <c r="R89" s="5">
        <v>45985</v>
      </c>
      <c r="S89" s="8" t="s">
        <v>294</v>
      </c>
    </row>
    <row r="90" spans="16:19" ht="15.75" customHeight="1" x14ac:dyDescent="0.2">
      <c r="P90" s="6" t="s">
        <v>58</v>
      </c>
      <c r="Q90" s="85">
        <v>129</v>
      </c>
      <c r="R90" s="5">
        <v>45986</v>
      </c>
      <c r="S90" s="8" t="s">
        <v>291</v>
      </c>
    </row>
    <row r="91" spans="16:19" ht="15.75" customHeight="1" x14ac:dyDescent="0.2">
      <c r="P91" s="6" t="s">
        <v>35</v>
      </c>
      <c r="Q91" s="85">
        <v>5.93</v>
      </c>
      <c r="R91" s="5">
        <v>45986</v>
      </c>
      <c r="S91" s="8" t="s">
        <v>209</v>
      </c>
    </row>
    <row r="92" spans="16:19" ht="15.75" customHeight="1" x14ac:dyDescent="0.2">
      <c r="P92" s="6" t="s">
        <v>59</v>
      </c>
      <c r="Q92" s="85">
        <v>24.9</v>
      </c>
      <c r="R92" s="5">
        <v>45986</v>
      </c>
      <c r="S92" s="8" t="s">
        <v>151</v>
      </c>
    </row>
    <row r="93" spans="16:19" ht="15.75" customHeight="1" x14ac:dyDescent="0.2">
      <c r="P93" s="6" t="s">
        <v>35</v>
      </c>
      <c r="Q93" s="85">
        <v>25.41</v>
      </c>
      <c r="R93" s="5">
        <v>45986</v>
      </c>
      <c r="S93" s="8" t="s">
        <v>293</v>
      </c>
    </row>
    <row r="94" spans="16:19" ht="15.75" customHeight="1" x14ac:dyDescent="0.2">
      <c r="P94" s="6" t="s">
        <v>35</v>
      </c>
      <c r="Q94" s="85">
        <v>15.18</v>
      </c>
      <c r="R94" s="5">
        <v>45987</v>
      </c>
      <c r="S94" s="8" t="s">
        <v>292</v>
      </c>
    </row>
    <row r="95" spans="16:19" ht="15.75" customHeight="1" x14ac:dyDescent="0.2">
      <c r="P95" s="6" t="s">
        <v>35</v>
      </c>
      <c r="Q95" s="85">
        <v>53.48</v>
      </c>
      <c r="R95" s="5">
        <v>45987</v>
      </c>
      <c r="S95" s="8" t="s">
        <v>293</v>
      </c>
    </row>
    <row r="96" spans="16:19" ht="15.75" customHeight="1" x14ac:dyDescent="0.2">
      <c r="P96" s="6" t="s">
        <v>59</v>
      </c>
      <c r="Q96" s="85">
        <v>10</v>
      </c>
      <c r="R96" s="5">
        <v>45987</v>
      </c>
      <c r="S96" s="8" t="s">
        <v>238</v>
      </c>
    </row>
    <row r="97" spans="16:19" ht="15.75" customHeight="1" x14ac:dyDescent="0.2">
      <c r="P97" s="6" t="s">
        <v>35</v>
      </c>
      <c r="Q97" s="85">
        <v>5.93</v>
      </c>
      <c r="R97" s="5">
        <v>45988</v>
      </c>
      <c r="S97" s="8" t="s">
        <v>52</v>
      </c>
    </row>
    <row r="98" spans="16:19" ht="15.75" customHeight="1" x14ac:dyDescent="0.2">
      <c r="P98" s="8" t="s">
        <v>35</v>
      </c>
      <c r="Q98" s="137">
        <v>60</v>
      </c>
      <c r="R98" s="5">
        <v>45988</v>
      </c>
      <c r="S98" s="8" t="s">
        <v>296</v>
      </c>
    </row>
    <row r="99" spans="16:19" ht="15.75" customHeight="1" x14ac:dyDescent="0.2">
      <c r="P99" s="93" t="s">
        <v>21</v>
      </c>
      <c r="Q99" s="137">
        <v>75.89</v>
      </c>
      <c r="R99" s="5">
        <v>45989</v>
      </c>
      <c r="S99" s="8" t="s">
        <v>67</v>
      </c>
    </row>
    <row r="100" spans="16:19" ht="15.75" customHeight="1" x14ac:dyDescent="0.2">
      <c r="P100" s="8" t="s">
        <v>35</v>
      </c>
      <c r="Q100" s="137">
        <v>27.9</v>
      </c>
      <c r="R100" s="5">
        <v>45989</v>
      </c>
      <c r="S100" s="8" t="s">
        <v>297</v>
      </c>
    </row>
    <row r="101" spans="16:19" ht="15.75" customHeight="1" x14ac:dyDescent="0.2">
      <c r="P101" s="8" t="s">
        <v>35</v>
      </c>
      <c r="Q101" s="137">
        <v>8.94</v>
      </c>
      <c r="R101" s="5">
        <v>45990</v>
      </c>
      <c r="S101" s="8" t="s">
        <v>52</v>
      </c>
    </row>
    <row r="102" spans="16:19" ht="15.75" customHeight="1" x14ac:dyDescent="0.2">
      <c r="P102" s="8" t="s">
        <v>50</v>
      </c>
      <c r="Q102" s="137">
        <v>25</v>
      </c>
      <c r="R102" s="5">
        <v>45990</v>
      </c>
      <c r="S102" s="8" t="s">
        <v>298</v>
      </c>
    </row>
    <row r="103" spans="16:19" ht="15.75" customHeight="1" x14ac:dyDescent="0.2">
      <c r="P103" s="8" t="s">
        <v>59</v>
      </c>
      <c r="Q103" s="137">
        <f>37.55-25</f>
        <v>12.549999999999997</v>
      </c>
      <c r="R103" s="5">
        <v>45990</v>
      </c>
      <c r="S103" s="8" t="s">
        <v>69</v>
      </c>
    </row>
    <row r="104" spans="16:19" ht="15.75" customHeight="1" x14ac:dyDescent="0.2">
      <c r="P104" s="8" t="s">
        <v>50</v>
      </c>
      <c r="Q104" s="137">
        <v>20.97</v>
      </c>
      <c r="R104" s="5">
        <v>45990</v>
      </c>
      <c r="S104" s="8" t="s">
        <v>138</v>
      </c>
    </row>
    <row r="105" spans="16:19" ht="15.75" customHeight="1" x14ac:dyDescent="0.2">
      <c r="P105" s="8" t="s">
        <v>35</v>
      </c>
      <c r="Q105" s="137">
        <v>14.9</v>
      </c>
      <c r="R105" s="5">
        <v>45990</v>
      </c>
      <c r="S105" s="8" t="s">
        <v>299</v>
      </c>
    </row>
    <row r="106" spans="16:19" ht="15.75" customHeight="1" x14ac:dyDescent="0.2">
      <c r="P106" s="8" t="s">
        <v>59</v>
      </c>
      <c r="Q106" s="137">
        <v>24.9</v>
      </c>
      <c r="R106" s="5">
        <v>45990</v>
      </c>
      <c r="S106" s="8" t="s">
        <v>69</v>
      </c>
    </row>
  </sheetData>
  <mergeCells count="10">
    <mergeCell ref="E22:G22"/>
    <mergeCell ref="K22:N23"/>
    <mergeCell ref="K24:N25"/>
    <mergeCell ref="B2:C2"/>
    <mergeCell ref="B7:B8"/>
    <mergeCell ref="M11:N11"/>
    <mergeCell ref="B12:B13"/>
    <mergeCell ref="C12:C13"/>
    <mergeCell ref="B16:B17"/>
    <mergeCell ref="C16:C17"/>
  </mergeCells>
  <conditionalFormatting sqref="F24:F33">
    <cfRule type="cellIs" dxfId="97" priority="6" operator="greaterThan">
      <formula>0</formula>
    </cfRule>
    <cfRule type="cellIs" dxfId="96" priority="10" operator="lessThan">
      <formula>0</formula>
    </cfRule>
  </conditionalFormatting>
  <conditionalFormatting sqref="G24:G33">
    <cfRule type="cellIs" dxfId="95" priority="1" operator="lessThan">
      <formula>0</formula>
    </cfRule>
    <cfRule type="cellIs" dxfId="94" priority="2" operator="greaterThan">
      <formula>0</formula>
    </cfRule>
    <cfRule type="cellIs" dxfId="93" priority="3" operator="greaterThan">
      <formula>0</formula>
    </cfRule>
  </conditionalFormatting>
  <conditionalFormatting sqref="K22">
    <cfRule type="containsText" dxfId="92" priority="5" operator="containsText" text="Gasto com Extra ok">
      <formula>NOT(ISERROR(SEARCH("Gasto com Extra ok",K22)))</formula>
    </cfRule>
    <cfRule type="containsText" dxfId="91" priority="7" operator="containsText" text="Continuem assim">
      <formula>NOT(ISERROR(SEARCH("Continuem assim",K22)))</formula>
    </cfRule>
    <cfRule type="containsText" dxfId="90" priority="11" operator="containsText" text="ATENÇÃO, JÁ GASTAMOS">
      <formula>NOT(ISERROR(SEARCH("ATENÇÃO, JÁ GASTAMOS",K22)))</formula>
    </cfRule>
    <cfRule type="containsText" dxfId="89" priority="12" operator="containsText" text="ATENÇÃO, JA GASTAMOS">
      <formula>NOT(ISERROR(SEARCH("ATENÇÃO, JA GASTAMOS",K22)))</formula>
    </cfRule>
    <cfRule type="containsText" dxfId="88" priority="13" operator="containsText" text="ATENÇÃO PARA OS GASTOS">
      <formula>NOT(ISERROR(SEARCH("ATENÇÃO PARA OS GASTOS",K22)))</formula>
    </cfRule>
    <cfRule type="cellIs" dxfId="87" priority="14" operator="lessThan">
      <formula>150</formula>
    </cfRule>
  </conditionalFormatting>
  <conditionalFormatting sqref="K24">
    <cfRule type="containsText" dxfId="86" priority="8" operator="containsText" text="Os valores estão positivos">
      <formula>NOT(ISERROR(SEARCH("Os valores estão positivos",K24)))</formula>
    </cfRule>
    <cfRule type="containsText" dxfId="85" priority="9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84" priority="4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AECE-9595-412F-8B56-0BB0AD4E399C}">
  <sheetPr>
    <outlinePr summaryBelow="0" summaryRight="0"/>
  </sheetPr>
  <dimension ref="B1:V154"/>
  <sheetViews>
    <sheetView zoomScaleNormal="100" workbookViewId="0">
      <selection activeCell="C5" sqref="C5"/>
    </sheetView>
  </sheetViews>
  <sheetFormatPr defaultColWidth="12.5703125" defaultRowHeight="15.75" customHeight="1" x14ac:dyDescent="0.2"/>
  <cols>
    <col min="1" max="1" width="1.5703125" customWidth="1"/>
    <col min="2" max="2" width="25.28515625" bestFit="1" customWidth="1"/>
    <col min="3" max="3" width="17.28515625" bestFit="1" customWidth="1"/>
    <col min="4" max="4" width="2.42578125" customWidth="1"/>
    <col min="5" max="5" width="22.85546875" bestFit="1" customWidth="1"/>
    <col min="6" max="6" width="23.425781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13.42578125" bestFit="1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2.42578125" style="69" bestFit="1" customWidth="1"/>
    <col min="18" max="18" width="9.7109375" bestFit="1" customWidth="1"/>
    <col min="19" max="19" width="51.7109375" bestFit="1" customWidth="1"/>
    <col min="20" max="20" width="12.42578125" bestFit="1" customWidth="1"/>
    <col min="21" max="21" width="18.140625" bestFit="1" customWidth="1"/>
    <col min="22" max="22" width="9.7109375" customWidth="1"/>
    <col min="23" max="23" width="13.140625" customWidth="1"/>
    <col min="24" max="24" width="17.28515625" bestFit="1" customWidth="1"/>
    <col min="25" max="25" width="22.28515625" bestFit="1" customWidth="1"/>
    <col min="28" max="28" width="22.28515625" bestFit="1" customWidth="1"/>
  </cols>
  <sheetData>
    <row r="1" spans="2:22" ht="9" customHeight="1" x14ac:dyDescent="0.2">
      <c r="T1" s="51"/>
      <c r="U1" s="51"/>
      <c r="V1" s="51"/>
    </row>
    <row r="2" spans="2:22" ht="15.75" customHeight="1" x14ac:dyDescent="0.2">
      <c r="B2" s="339" t="s">
        <v>0</v>
      </c>
      <c r="C2" s="340"/>
      <c r="D2" s="37"/>
      <c r="E2" s="98" t="s">
        <v>1</v>
      </c>
      <c r="F2" s="100" t="s">
        <v>27</v>
      </c>
      <c r="H2" s="37"/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5" t="s">
        <v>60</v>
      </c>
      <c r="Q2" s="174" t="s">
        <v>27</v>
      </c>
      <c r="R2" s="162" t="s">
        <v>36</v>
      </c>
      <c r="S2" s="163" t="s">
        <v>37</v>
      </c>
      <c r="T2" s="51"/>
      <c r="U2" s="51"/>
      <c r="V2" s="52"/>
    </row>
    <row r="3" spans="2:22" ht="15.75" customHeight="1" x14ac:dyDescent="0.2">
      <c r="B3" s="1" t="s">
        <v>43</v>
      </c>
      <c r="C3" s="1">
        <v>1646.48</v>
      </c>
      <c r="D3" s="37"/>
      <c r="E3" s="97" t="s">
        <v>4</v>
      </c>
      <c r="F3" s="101">
        <v>760</v>
      </c>
      <c r="H3" s="37"/>
      <c r="I3" s="126" t="s">
        <v>3</v>
      </c>
      <c r="J3" s="125">
        <v>64.900000000000006</v>
      </c>
      <c r="K3" s="129">
        <v>45935</v>
      </c>
      <c r="M3" s="25" t="s">
        <v>2</v>
      </c>
      <c r="N3" s="26" t="s">
        <v>39</v>
      </c>
      <c r="P3" s="164" t="s">
        <v>295</v>
      </c>
      <c r="Q3" s="165">
        <f>208.02+137.52</f>
        <v>345.54</v>
      </c>
      <c r="R3" s="166">
        <v>45990</v>
      </c>
      <c r="S3" s="167" t="s">
        <v>34</v>
      </c>
      <c r="V3" s="52"/>
    </row>
    <row r="4" spans="2:22" ht="15.75" customHeight="1" x14ac:dyDescent="0.2">
      <c r="B4" s="1" t="s">
        <v>44</v>
      </c>
      <c r="C4" s="1">
        <v>2523</v>
      </c>
      <c r="D4" s="37"/>
      <c r="E4" s="97" t="s">
        <v>6</v>
      </c>
      <c r="F4" s="101">
        <v>596</v>
      </c>
      <c r="G4" s="109"/>
      <c r="H4" s="37"/>
      <c r="I4" s="126" t="s">
        <v>5</v>
      </c>
      <c r="J4" s="125">
        <v>147</v>
      </c>
      <c r="K4" s="129">
        <v>45998</v>
      </c>
      <c r="M4" s="25" t="s">
        <v>3</v>
      </c>
      <c r="N4" s="26">
        <v>19.899999999999999</v>
      </c>
      <c r="P4" s="8" t="s">
        <v>33</v>
      </c>
      <c r="Q4" s="137">
        <v>25.4</v>
      </c>
      <c r="R4" s="5">
        <v>45991</v>
      </c>
      <c r="S4" s="8" t="s">
        <v>303</v>
      </c>
      <c r="V4" s="52"/>
    </row>
    <row r="5" spans="2:22" ht="15.75" customHeight="1" x14ac:dyDescent="0.2">
      <c r="B5" s="1" t="s">
        <v>56</v>
      </c>
      <c r="C5" s="1">
        <v>812</v>
      </c>
      <c r="D5" s="37"/>
      <c r="E5" s="97" t="s">
        <v>9</v>
      </c>
      <c r="F5" s="101">
        <v>295</v>
      </c>
      <c r="G5" s="109"/>
      <c r="H5" s="37"/>
      <c r="I5" s="126" t="s">
        <v>8</v>
      </c>
      <c r="J5" s="125">
        <v>39</v>
      </c>
      <c r="K5" s="129">
        <v>45938</v>
      </c>
      <c r="M5" s="25" t="s">
        <v>7</v>
      </c>
      <c r="N5" s="26">
        <v>11.8</v>
      </c>
      <c r="P5" s="168" t="s">
        <v>34</v>
      </c>
      <c r="Q5" s="176">
        <v>180</v>
      </c>
      <c r="R5" s="5">
        <v>45991</v>
      </c>
      <c r="S5" s="175" t="s">
        <v>304</v>
      </c>
      <c r="V5" s="52"/>
    </row>
    <row r="6" spans="2:22" ht="15.75" customHeight="1" x14ac:dyDescent="0.2">
      <c r="B6" s="1" t="s">
        <v>63</v>
      </c>
      <c r="C6" s="1">
        <v>946</v>
      </c>
      <c r="D6" s="37"/>
      <c r="E6" s="97" t="s">
        <v>12</v>
      </c>
      <c r="F6" s="101">
        <v>97</v>
      </c>
      <c r="G6" s="109"/>
      <c r="H6" s="37"/>
      <c r="I6" s="126" t="s">
        <v>226</v>
      </c>
      <c r="J6" s="125">
        <v>179.58</v>
      </c>
      <c r="K6" s="130">
        <v>45994</v>
      </c>
      <c r="M6" s="25" t="s">
        <v>10</v>
      </c>
      <c r="N6" s="26">
        <v>20</v>
      </c>
      <c r="P6" s="168" t="s">
        <v>33</v>
      </c>
      <c r="Q6" s="176">
        <v>30</v>
      </c>
      <c r="R6" s="5">
        <v>45991</v>
      </c>
      <c r="S6" s="175" t="s">
        <v>305</v>
      </c>
      <c r="U6" s="37"/>
      <c r="V6" s="52"/>
    </row>
    <row r="7" spans="2:22" ht="15.75" customHeight="1" x14ac:dyDescent="0.2">
      <c r="B7" s="343" t="s">
        <v>15</v>
      </c>
      <c r="C7" s="41">
        <v>445</v>
      </c>
      <c r="D7" s="37"/>
      <c r="E7" s="97" t="s">
        <v>16</v>
      </c>
      <c r="F7" s="101">
        <v>100</v>
      </c>
      <c r="G7" s="109"/>
      <c r="H7" s="37"/>
      <c r="I7" s="126" t="s">
        <v>233</v>
      </c>
      <c r="J7" s="125">
        <v>96</v>
      </c>
      <c r="K7" s="129" t="s">
        <v>234</v>
      </c>
      <c r="M7" s="25" t="s">
        <v>13</v>
      </c>
      <c r="N7" s="26">
        <v>19.899999999999999</v>
      </c>
      <c r="P7" s="168" t="s">
        <v>33</v>
      </c>
      <c r="Q7" s="137">
        <v>7</v>
      </c>
      <c r="R7" s="5">
        <v>45991</v>
      </c>
      <c r="S7" s="175" t="s">
        <v>305</v>
      </c>
      <c r="T7" s="37"/>
      <c r="U7" s="37"/>
      <c r="V7" s="52"/>
    </row>
    <row r="8" spans="2:22" ht="15.75" customHeight="1" x14ac:dyDescent="0.2">
      <c r="B8" s="344"/>
      <c r="C8" s="41">
        <v>412</v>
      </c>
      <c r="D8" s="37"/>
      <c r="E8" s="97" t="s">
        <v>19</v>
      </c>
      <c r="F8" s="101">
        <v>60</v>
      </c>
      <c r="H8" s="37"/>
      <c r="I8" s="126" t="s">
        <v>290</v>
      </c>
      <c r="J8" s="125">
        <v>60</v>
      </c>
      <c r="K8" s="129" t="s">
        <v>234</v>
      </c>
      <c r="M8" s="25" t="s">
        <v>17</v>
      </c>
      <c r="N8" s="26">
        <v>7</v>
      </c>
      <c r="P8" s="168" t="s">
        <v>33</v>
      </c>
      <c r="Q8" s="137">
        <v>36</v>
      </c>
      <c r="R8" s="5">
        <v>45991</v>
      </c>
      <c r="S8" s="175" t="s">
        <v>305</v>
      </c>
      <c r="T8" s="37"/>
      <c r="U8" s="37"/>
      <c r="V8" s="52"/>
    </row>
    <row r="9" spans="2:22" ht="15.75" customHeight="1" x14ac:dyDescent="0.2">
      <c r="B9" s="160" t="s">
        <v>295</v>
      </c>
      <c r="C9" s="161">
        <v>328</v>
      </c>
      <c r="D9" s="37"/>
      <c r="E9" s="97" t="s">
        <v>21</v>
      </c>
      <c r="F9" s="101">
        <v>200</v>
      </c>
      <c r="H9" s="37"/>
      <c r="I9" s="126" t="s">
        <v>39</v>
      </c>
      <c r="J9" s="125">
        <v>0</v>
      </c>
      <c r="K9" s="129" t="s">
        <v>39</v>
      </c>
      <c r="M9" s="31" t="s">
        <v>20</v>
      </c>
      <c r="N9" s="32">
        <f>SUM(N3:N8)</f>
        <v>78.599999999999994</v>
      </c>
      <c r="P9" s="168" t="s">
        <v>33</v>
      </c>
      <c r="Q9" s="137">
        <v>16</v>
      </c>
      <c r="R9" s="5">
        <v>45991</v>
      </c>
      <c r="S9" s="175" t="s">
        <v>305</v>
      </c>
      <c r="T9" s="37"/>
      <c r="U9" s="37"/>
      <c r="V9" s="52"/>
    </row>
    <row r="10" spans="2:22" ht="15.75" customHeight="1" x14ac:dyDescent="0.2">
      <c r="B10" s="171"/>
      <c r="C10" s="172"/>
      <c r="D10" s="37"/>
      <c r="E10" s="97" t="s">
        <v>22</v>
      </c>
      <c r="F10" s="101">
        <v>60</v>
      </c>
      <c r="H10" s="37"/>
      <c r="I10" s="132" t="s">
        <v>20</v>
      </c>
      <c r="J10" s="133">
        <f>SUM(J3:J9)</f>
        <v>586.48</v>
      </c>
      <c r="K10" s="135" t="s">
        <v>39</v>
      </c>
      <c r="N10" s="37"/>
      <c r="O10" s="37"/>
      <c r="P10" s="168" t="s">
        <v>33</v>
      </c>
      <c r="Q10" s="137">
        <v>12</v>
      </c>
      <c r="R10" s="5">
        <v>45991</v>
      </c>
      <c r="S10" s="175" t="s">
        <v>305</v>
      </c>
      <c r="T10" s="37"/>
      <c r="U10" s="37"/>
      <c r="V10" s="52"/>
    </row>
    <row r="11" spans="2:22" ht="16.5" x14ac:dyDescent="0.2">
      <c r="B11" s="160" t="s">
        <v>55</v>
      </c>
      <c r="C11" s="161"/>
      <c r="D11" s="37"/>
      <c r="E11" s="97" t="s">
        <v>23</v>
      </c>
      <c r="F11" s="101">
        <v>800</v>
      </c>
      <c r="H11" s="37"/>
      <c r="M11" s="341" t="s">
        <v>40</v>
      </c>
      <c r="N11" s="342"/>
      <c r="P11" s="168" t="s">
        <v>33</v>
      </c>
      <c r="Q11" s="137">
        <v>6.69</v>
      </c>
      <c r="R11" s="5">
        <v>45992</v>
      </c>
      <c r="S11" s="175" t="s">
        <v>305</v>
      </c>
      <c r="T11" s="37"/>
      <c r="U11" s="37"/>
      <c r="V11" s="52"/>
    </row>
    <row r="12" spans="2:22" ht="16.5" x14ac:dyDescent="0.2">
      <c r="B12" s="346" t="s">
        <v>20</v>
      </c>
      <c r="C12" s="347">
        <f>SUM(C3:C9)</f>
        <v>7112.48</v>
      </c>
      <c r="D12" s="37"/>
      <c r="E12" s="97" t="s">
        <v>24</v>
      </c>
      <c r="F12" s="101">
        <f>N9</f>
        <v>78.599999999999994</v>
      </c>
      <c r="H12" s="37"/>
      <c r="I12" s="69"/>
      <c r="M12" s="27" t="s">
        <v>41</v>
      </c>
      <c r="N12" s="38">
        <v>15000</v>
      </c>
      <c r="P12" s="168" t="s">
        <v>33</v>
      </c>
      <c r="Q12" s="137">
        <v>5.26</v>
      </c>
      <c r="R12" s="5">
        <v>45992</v>
      </c>
      <c r="S12" s="175" t="s">
        <v>305</v>
      </c>
      <c r="T12" s="37"/>
      <c r="U12" s="37"/>
      <c r="V12" s="52"/>
    </row>
    <row r="13" spans="2:22" ht="16.5" x14ac:dyDescent="0.2">
      <c r="B13" s="344"/>
      <c r="C13" s="348"/>
      <c r="D13" s="37"/>
      <c r="E13" s="99" t="s">
        <v>20</v>
      </c>
      <c r="F13" s="102">
        <f>SUM(F3:F12)</f>
        <v>3046.6</v>
      </c>
      <c r="H13" s="37"/>
      <c r="J13" s="96"/>
      <c r="M13" s="28" t="s">
        <v>42</v>
      </c>
      <c r="N13" s="39">
        <v>8063</v>
      </c>
      <c r="P13" s="168" t="s">
        <v>35</v>
      </c>
      <c r="Q13" s="137">
        <v>10</v>
      </c>
      <c r="R13" s="5">
        <v>45992</v>
      </c>
      <c r="S13" s="169" t="s">
        <v>306</v>
      </c>
      <c r="T13" s="37"/>
      <c r="U13" s="37"/>
      <c r="V13" s="52"/>
    </row>
    <row r="14" spans="2:22" ht="16.5" x14ac:dyDescent="0.2">
      <c r="B14" s="37"/>
      <c r="C14" s="37"/>
      <c r="D14" s="37"/>
      <c r="E14" s="37"/>
      <c r="F14" s="37"/>
      <c r="H14" s="37"/>
      <c r="I14" s="96"/>
      <c r="M14" s="29" t="s">
        <v>64</v>
      </c>
      <c r="N14" s="40">
        <f>N12-N13</f>
        <v>6937</v>
      </c>
      <c r="P14" s="168" t="s">
        <v>35</v>
      </c>
      <c r="Q14" s="137">
        <v>115</v>
      </c>
      <c r="R14" s="5">
        <v>45992</v>
      </c>
      <c r="S14" s="169" t="s">
        <v>307</v>
      </c>
      <c r="T14" s="37"/>
      <c r="U14" s="37"/>
      <c r="V14" s="52"/>
    </row>
    <row r="15" spans="2:22" ht="12.75" x14ac:dyDescent="0.2">
      <c r="B15" s="43"/>
      <c r="C15" s="43"/>
      <c r="D15" s="43"/>
      <c r="E15" s="44"/>
      <c r="F15" s="70"/>
      <c r="G15" s="173"/>
      <c r="H15" s="37"/>
      <c r="N15" s="37"/>
      <c r="O15" s="37"/>
      <c r="P15" s="168" t="s">
        <v>35</v>
      </c>
      <c r="Q15" s="137">
        <v>10</v>
      </c>
      <c r="R15" s="5">
        <v>45992</v>
      </c>
      <c r="S15" s="169" t="s">
        <v>308</v>
      </c>
      <c r="T15" s="37"/>
      <c r="U15" s="37"/>
      <c r="V15" s="52"/>
    </row>
    <row r="16" spans="2:22" ht="12.75" x14ac:dyDescent="0.2">
      <c r="B16" s="335" t="s">
        <v>239</v>
      </c>
      <c r="C16" s="337">
        <f>C12-F13-J10</f>
        <v>3479.3999999999996</v>
      </c>
      <c r="D16" s="43"/>
      <c r="E16" s="71"/>
      <c r="F16" s="72"/>
      <c r="G16" s="44"/>
      <c r="H16" s="44"/>
      <c r="I16" s="69">
        <f>F13-F11-F9-F8+J10</f>
        <v>2573.08</v>
      </c>
      <c r="N16" s="37"/>
      <c r="O16" s="37"/>
      <c r="P16" s="168" t="s">
        <v>32</v>
      </c>
      <c r="Q16" s="137">
        <v>49</v>
      </c>
      <c r="R16" s="5">
        <v>45992</v>
      </c>
      <c r="S16" s="169" t="s">
        <v>310</v>
      </c>
      <c r="T16" s="37"/>
      <c r="U16" s="37"/>
      <c r="V16" s="52"/>
    </row>
    <row r="17" spans="2:22" ht="12.75" x14ac:dyDescent="0.2">
      <c r="B17" s="336"/>
      <c r="C17" s="336"/>
      <c r="D17" s="43"/>
      <c r="E17" s="70"/>
      <c r="F17" s="69"/>
      <c r="G17" s="44"/>
      <c r="H17" s="44"/>
      <c r="K17" s="96"/>
      <c r="N17" s="37"/>
      <c r="P17" s="168" t="s">
        <v>32</v>
      </c>
      <c r="Q17" s="137">
        <v>88</v>
      </c>
      <c r="R17" s="5">
        <v>45992</v>
      </c>
      <c r="S17" s="169" t="s">
        <v>32</v>
      </c>
      <c r="T17" s="37"/>
      <c r="U17" s="37"/>
      <c r="V17" s="52"/>
    </row>
    <row r="18" spans="2:22" ht="12.75" customHeight="1" x14ac:dyDescent="0.2">
      <c r="B18" s="43"/>
      <c r="C18" s="43"/>
      <c r="D18" s="43"/>
      <c r="F18" s="69"/>
      <c r="I18" s="51"/>
      <c r="J18" s="51"/>
      <c r="K18" s="51"/>
      <c r="L18" s="37"/>
      <c r="M18" s="37"/>
      <c r="N18" s="37"/>
      <c r="P18" s="168" t="s">
        <v>32</v>
      </c>
      <c r="Q18" s="137">
        <v>45</v>
      </c>
      <c r="R18" s="5">
        <v>45992</v>
      </c>
      <c r="S18" s="169" t="s">
        <v>32</v>
      </c>
      <c r="T18" s="37"/>
      <c r="U18" s="37"/>
      <c r="V18" s="52"/>
    </row>
    <row r="19" spans="2:22" ht="12.75" x14ac:dyDescent="0.2">
      <c r="J19" s="70"/>
      <c r="K19" s="37"/>
      <c r="L19" s="37"/>
      <c r="M19" s="37"/>
      <c r="N19" s="37"/>
      <c r="P19" s="6" t="s">
        <v>50</v>
      </c>
      <c r="Q19" s="137">
        <f>440-Q18-Q17-Q16</f>
        <v>258</v>
      </c>
      <c r="R19" s="5">
        <v>45992</v>
      </c>
      <c r="S19" s="169" t="s">
        <v>138</v>
      </c>
      <c r="T19" s="37"/>
      <c r="U19" s="37"/>
      <c r="V19" s="52"/>
    </row>
    <row r="20" spans="2:22" ht="12.75" x14ac:dyDescent="0.2">
      <c r="B20" s="37"/>
      <c r="C20" s="37"/>
      <c r="D20" s="37"/>
      <c r="J20" s="37"/>
      <c r="K20" s="37"/>
      <c r="L20" s="37"/>
      <c r="M20" s="37"/>
      <c r="N20" s="37"/>
      <c r="P20" s="168" t="s">
        <v>35</v>
      </c>
      <c r="Q20" s="137">
        <v>32</v>
      </c>
      <c r="R20" s="5">
        <v>45993</v>
      </c>
      <c r="S20" s="169" t="s">
        <v>300</v>
      </c>
    </row>
    <row r="21" spans="2:22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168" t="s">
        <v>35</v>
      </c>
      <c r="Q21" s="137">
        <v>100</v>
      </c>
      <c r="R21" s="5">
        <v>45993</v>
      </c>
      <c r="S21" s="169" t="s">
        <v>301</v>
      </c>
    </row>
    <row r="22" spans="2:22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79">
        <f>SUMIFS(Q3:Q154,P3:P154,"Casa")</f>
        <v>285.92</v>
      </c>
      <c r="K22" s="345" t="str">
        <f>IF(J28&gt;=200,"ATENÇÃO AO GASTO EXTRA R$ " &amp; SUM(J28), "GASTO COM EXTRA OK !")</f>
        <v>ATENÇÃO AO GASTO EXTRA R$ 517,55</v>
      </c>
      <c r="L22" s="345"/>
      <c r="M22" s="345"/>
      <c r="N22" s="345"/>
      <c r="P22" s="168" t="s">
        <v>35</v>
      </c>
      <c r="Q22" s="137">
        <v>14.97</v>
      </c>
      <c r="R22" s="5">
        <v>45993</v>
      </c>
      <c r="S22" s="169" t="s">
        <v>52</v>
      </c>
    </row>
    <row r="23" spans="2:22" ht="15.75" customHeight="1" x14ac:dyDescent="0.2">
      <c r="B23" s="3" t="s">
        <v>31</v>
      </c>
      <c r="C23" s="46">
        <f>C16*40%</f>
        <v>1391.76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79">
        <f>SUMIFS(Q3:Q154,P3:P154,"Lazer")</f>
        <v>579.01</v>
      </c>
      <c r="K23" s="345"/>
      <c r="L23" s="345"/>
      <c r="M23" s="345"/>
      <c r="N23" s="345"/>
      <c r="P23" s="168" t="s">
        <v>59</v>
      </c>
      <c r="Q23" s="137">
        <v>17</v>
      </c>
      <c r="R23" s="5">
        <v>45993</v>
      </c>
      <c r="S23" s="169" t="s">
        <v>309</v>
      </c>
    </row>
    <row r="24" spans="2:22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f>C23-391.76</f>
        <v>1000</v>
      </c>
      <c r="G24" s="134">
        <f>SUM(Tabela61516612182532[[#This Row],[Valores]]+Tabela6151661218[[#This Row],[Acumulado]])</f>
        <v>5091.4119999999994</v>
      </c>
      <c r="H24" s="2"/>
      <c r="I24" s="6" t="s">
        <v>34</v>
      </c>
      <c r="J24" s="79">
        <f>SUMIFS(Q3:Q154,P3:P154,"Roupas")</f>
        <v>239.99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168" t="s">
        <v>35</v>
      </c>
      <c r="Q24" s="137">
        <v>5</v>
      </c>
      <c r="R24" s="5">
        <v>45994</v>
      </c>
      <c r="S24" s="169" t="s">
        <v>302</v>
      </c>
    </row>
    <row r="25" spans="2:22" ht="15.75" customHeight="1" x14ac:dyDescent="0.2">
      <c r="B25" s="3" t="s">
        <v>33</v>
      </c>
      <c r="C25" s="46">
        <v>700</v>
      </c>
      <c r="D25" s="43"/>
      <c r="E25" s="54" t="s">
        <v>32</v>
      </c>
      <c r="F25" s="55">
        <f>C24-J22</f>
        <v>-85.920000000000016</v>
      </c>
      <c r="G25" s="134">
        <f>SUM(Tabela61516612182532[[#This Row],[Valores]]+Tabela615166121825[[#This Row],[Acumulado]])</f>
        <v>426.27000000000004</v>
      </c>
      <c r="H25" s="2"/>
      <c r="I25" s="6" t="s">
        <v>19</v>
      </c>
      <c r="J25" s="79">
        <f>SUMIFS(Q3:Q154,P3:P154,"Nesco")</f>
        <v>56.5</v>
      </c>
      <c r="K25" s="334"/>
      <c r="L25" s="334"/>
      <c r="M25" s="334"/>
      <c r="N25" s="334"/>
      <c r="P25" s="168" t="s">
        <v>35</v>
      </c>
      <c r="Q25" s="137">
        <v>5.93</v>
      </c>
      <c r="R25" s="5">
        <v>45994</v>
      </c>
      <c r="S25" s="169" t="s">
        <v>52</v>
      </c>
    </row>
    <row r="26" spans="2:22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</f>
        <v>120.99000000000001</v>
      </c>
      <c r="G26" s="134">
        <f>SUM(Tabela61516612182532[[#This Row],[Valores]]+Tabela615166121825[[#This Row],[Acumulado]])</f>
        <v>2.019999999999925</v>
      </c>
      <c r="H26" s="2"/>
      <c r="I26" s="6" t="s">
        <v>21</v>
      </c>
      <c r="J26" s="79">
        <f>SUMIFS(Q3:Q154,P3:P154,"Gasolina / Óleo")</f>
        <v>124.44000000000004</v>
      </c>
      <c r="P26" s="168" t="s">
        <v>35</v>
      </c>
      <c r="Q26" s="137">
        <v>14</v>
      </c>
      <c r="R26" s="5">
        <v>45995</v>
      </c>
      <c r="S26" s="169" t="s">
        <v>52</v>
      </c>
    </row>
    <row r="27" spans="2:22" ht="15.75" customHeight="1" x14ac:dyDescent="0.2">
      <c r="B27" s="13" t="s">
        <v>35</v>
      </c>
      <c r="C27" s="46">
        <f>C16-SUM(C23:C26)-SUM(C31:C32)+100</f>
        <v>487.63999999999942</v>
      </c>
      <c r="D27" s="43"/>
      <c r="E27" s="54" t="s">
        <v>34</v>
      </c>
      <c r="F27" s="55">
        <f>C26-J24</f>
        <v>-39.990000000000009</v>
      </c>
      <c r="G27" s="134">
        <f>SUM(Tabela61516612182532[[#This Row],[Valores]]+Tabela615166121825[[#This Row],[Acumulado]])</f>
        <v>350.05</v>
      </c>
      <c r="H27" s="2"/>
      <c r="I27" s="6" t="s">
        <v>50</v>
      </c>
      <c r="J27" s="79">
        <f>SUMIFS(Q3:Q154,P3:P154,"Compras do Mês")</f>
        <v>824.14</v>
      </c>
      <c r="P27" s="6" t="s">
        <v>50</v>
      </c>
      <c r="Q27" s="137">
        <v>140.13</v>
      </c>
      <c r="R27" s="5">
        <v>45995</v>
      </c>
      <c r="S27" s="169" t="s">
        <v>138</v>
      </c>
    </row>
    <row r="28" spans="2:22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72.360000000000014</v>
      </c>
      <c r="G28" s="134">
        <f>SUM(Tabela61516612182532[[#This Row],[Valores]]+Tabela615166121825[[#This Row],[Acumulado]])</f>
        <v>9.9999999999056399E-3</v>
      </c>
      <c r="H28" s="2"/>
      <c r="I28" s="6" t="s">
        <v>35</v>
      </c>
      <c r="J28" s="79">
        <f>SUMIFS(Q3:Q154,P3:P154,"Extras")</f>
        <v>517.54999999999995</v>
      </c>
      <c r="P28" s="6" t="s">
        <v>58</v>
      </c>
      <c r="Q28" s="137">
        <v>99</v>
      </c>
      <c r="R28" s="5">
        <v>45996</v>
      </c>
      <c r="S28" s="169" t="s">
        <v>312</v>
      </c>
    </row>
    <row r="29" spans="2:22" ht="15.75" customHeight="1" x14ac:dyDescent="0.2">
      <c r="B29" s="12" t="s">
        <v>21</v>
      </c>
      <c r="C29" s="48">
        <v>200</v>
      </c>
      <c r="D29" s="43"/>
      <c r="E29" s="56" t="s">
        <v>58</v>
      </c>
      <c r="F29" s="57">
        <f>C32-J30</f>
        <v>14.080000000000041</v>
      </c>
      <c r="G29" s="134">
        <f>SUM(Tabela61516612182532[[#This Row],[Valores]]+Tabela615166121825[[#This Row],[Acumulado]])</f>
        <v>17.439999999999969</v>
      </c>
      <c r="H29" s="2"/>
      <c r="I29" s="6" t="s">
        <v>59</v>
      </c>
      <c r="J29" s="81">
        <f>SUMIFS(Q3:Q154,P3:P154,"Bobeirinhas V")</f>
        <v>227.64</v>
      </c>
      <c r="P29" s="6" t="s">
        <v>58</v>
      </c>
      <c r="Q29" s="137">
        <v>8</v>
      </c>
      <c r="R29" s="5">
        <v>45996</v>
      </c>
      <c r="S29" s="169" t="s">
        <v>313</v>
      </c>
    </row>
    <row r="30" spans="2:22" ht="15.75" customHeight="1" x14ac:dyDescent="0.2">
      <c r="B30" s="13" t="s">
        <v>50</v>
      </c>
      <c r="C30" s="47">
        <f>800+400</f>
        <v>1200</v>
      </c>
      <c r="D30" s="43"/>
      <c r="E30" s="58" t="s">
        <v>35</v>
      </c>
      <c r="F30" s="59">
        <f>C27-J28</f>
        <v>-29.910000000000537</v>
      </c>
      <c r="G30" s="134">
        <f>SUM(Tabela61516612182532[[#This Row],[Valores]]+Tabela615166121825[[#This Row],[Acumulado]])</f>
        <v>18.324999999997658</v>
      </c>
      <c r="H30" s="2"/>
      <c r="I30" s="9" t="s">
        <v>58</v>
      </c>
      <c r="J30" s="80">
        <f>SUMIFS(Q3:Q154,P3:P154,"Bobeirinhas J")</f>
        <v>285.91999999999996</v>
      </c>
      <c r="L30" s="69">
        <f>SUM(J34,I16)</f>
        <v>4401.6649999999972</v>
      </c>
      <c r="P30" s="120" t="s">
        <v>35</v>
      </c>
      <c r="Q30" s="137">
        <v>60</v>
      </c>
      <c r="R30" s="5">
        <v>45996</v>
      </c>
      <c r="S30" s="169" t="s">
        <v>314</v>
      </c>
    </row>
    <row r="31" spans="2:22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3.5</v>
      </c>
      <c r="G31" s="134">
        <f>SUM(Tabela61516612182532[[#This Row],[Valores]]+Tabela615166121825[[#This Row],[Acumulado]])</f>
        <v>11.550000000000004</v>
      </c>
      <c r="H31" s="2"/>
      <c r="J31" s="96"/>
      <c r="N31" s="96"/>
      <c r="P31" s="120" t="s">
        <v>35</v>
      </c>
      <c r="Q31" s="137">
        <v>11.95</v>
      </c>
      <c r="R31" s="5">
        <v>45996</v>
      </c>
      <c r="S31" s="169" t="s">
        <v>52</v>
      </c>
    </row>
    <row r="32" spans="2:22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75.55999999999996</v>
      </c>
      <c r="G32" s="134">
        <f>SUM(Tabela61516612182532[[#This Row],[Valores]]+Tabela615166121825[[#This Row],[Acumulado]])</f>
        <v>9.9999999999482725E-3</v>
      </c>
      <c r="H32" s="2"/>
      <c r="J32" s="37"/>
      <c r="P32" s="168" t="s">
        <v>19</v>
      </c>
      <c r="Q32" s="137">
        <v>12.5</v>
      </c>
      <c r="R32" s="5">
        <v>45996</v>
      </c>
      <c r="S32" s="169" t="s">
        <v>124</v>
      </c>
    </row>
    <row r="33" spans="2:22" ht="15.75" customHeight="1" x14ac:dyDescent="0.2">
      <c r="B33" s="73"/>
      <c r="C33" s="74"/>
      <c r="D33" s="43"/>
      <c r="E33" s="58" t="s">
        <v>50</v>
      </c>
      <c r="F33" s="61">
        <f>C30-J27</f>
        <v>375.86</v>
      </c>
      <c r="G33" s="134">
        <f>SUM(Tabela61516612182532[[#This Row],[Valores]]+Tabela615166121825[[#This Row],[Acumulado]])</f>
        <v>2.9100000000001955</v>
      </c>
      <c r="H33" s="2"/>
      <c r="J33" s="96"/>
      <c r="L33" s="69"/>
      <c r="M33" s="109"/>
      <c r="N33" s="69">
        <f>SUM(G25:G33)+K38</f>
        <v>1327.8449999999973</v>
      </c>
      <c r="P33" s="6" t="s">
        <v>21</v>
      </c>
      <c r="Q33" s="137">
        <v>73.56</v>
      </c>
      <c r="R33" s="5">
        <v>45997</v>
      </c>
      <c r="S33" s="169" t="s">
        <v>223</v>
      </c>
    </row>
    <row r="34" spans="2:22" ht="15.75" customHeight="1" x14ac:dyDescent="0.35">
      <c r="B34" s="44"/>
      <c r="C34" s="44"/>
      <c r="D34" s="43"/>
      <c r="E34" s="43"/>
      <c r="F34" s="43"/>
      <c r="G34" s="141"/>
      <c r="H34" s="2"/>
      <c r="I34" s="155"/>
      <c r="J34" s="69">
        <f>(SUM(G25:G33))+F24</f>
        <v>1828.5849999999975</v>
      </c>
      <c r="L34" s="69"/>
      <c r="P34" s="168" t="s">
        <v>33</v>
      </c>
      <c r="Q34" s="137">
        <f>281.9+11.99</f>
        <v>293.89</v>
      </c>
      <c r="R34" s="5">
        <v>45997</v>
      </c>
      <c r="S34" s="169" t="s">
        <v>311</v>
      </c>
    </row>
    <row r="35" spans="2:22" ht="15.75" customHeight="1" x14ac:dyDescent="0.2">
      <c r="B35" s="37"/>
      <c r="C35" s="37"/>
      <c r="D35" s="37"/>
      <c r="E35" s="76" t="s">
        <v>79</v>
      </c>
      <c r="F35" s="77">
        <f>SUM(F24:F30)</f>
        <v>1051.6099999999994</v>
      </c>
      <c r="G35" s="70"/>
      <c r="J35" s="69"/>
      <c r="K35" s="69"/>
      <c r="P35" s="168" t="s">
        <v>59</v>
      </c>
      <c r="Q35" s="137">
        <v>14.99</v>
      </c>
      <c r="R35" s="5">
        <v>45997</v>
      </c>
      <c r="S35" s="169" t="s">
        <v>100</v>
      </c>
    </row>
    <row r="36" spans="2:22" ht="15.75" customHeight="1" x14ac:dyDescent="0.2">
      <c r="C36" s="69"/>
      <c r="F36" s="69"/>
      <c r="N36">
        <f>2608-1921+97+393.68+37.52+N43</f>
        <v>1269.1200000000001</v>
      </c>
      <c r="P36" s="177"/>
      <c r="Q36" s="178">
        <v>567</v>
      </c>
      <c r="R36" s="179">
        <v>45997</v>
      </c>
      <c r="S36" s="180" t="s">
        <v>316</v>
      </c>
      <c r="T36" s="349" t="s">
        <v>317</v>
      </c>
      <c r="U36" s="349"/>
      <c r="V36" s="349"/>
    </row>
    <row r="37" spans="2:22" ht="12.75" customHeight="1" x14ac:dyDescent="0.2">
      <c r="F37" s="200" t="s">
        <v>379</v>
      </c>
      <c r="G37" s="209" t="s">
        <v>368</v>
      </c>
      <c r="I37" s="208" t="s">
        <v>363</v>
      </c>
      <c r="J37" s="69"/>
      <c r="P37" s="177" t="s">
        <v>35</v>
      </c>
      <c r="Q37" s="178">
        <v>391</v>
      </c>
      <c r="R37" s="179">
        <v>45997</v>
      </c>
      <c r="S37" s="180" t="s">
        <v>316</v>
      </c>
      <c r="T37" s="349"/>
      <c r="U37" s="349"/>
      <c r="V37" s="349"/>
    </row>
    <row r="38" spans="2:22" ht="13.5" customHeight="1" x14ac:dyDescent="0.2">
      <c r="F38" s="202">
        <v>2255</v>
      </c>
      <c r="G38" s="204">
        <f>SUMIFS(Q3:Q154,P3:P154,"DécimoT")</f>
        <v>1845.13</v>
      </c>
      <c r="I38" s="206">
        <f>(F38-G38)</f>
        <v>409.86999999999989</v>
      </c>
      <c r="J38" s="109" t="s">
        <v>369</v>
      </c>
      <c r="K38" s="350">
        <f>SUM(I38+J41)-300+66.57</f>
        <v>499.25999999999982</v>
      </c>
      <c r="P38" s="182" t="s">
        <v>58</v>
      </c>
      <c r="Q38" s="178">
        <v>88</v>
      </c>
      <c r="R38" s="179">
        <v>45997</v>
      </c>
      <c r="S38" s="180" t="s">
        <v>316</v>
      </c>
      <c r="T38" s="349"/>
      <c r="U38" s="349"/>
      <c r="V38" s="349"/>
    </row>
    <row r="39" spans="2:22" ht="15.75" customHeight="1" x14ac:dyDescent="0.2">
      <c r="K39" s="350"/>
      <c r="P39" s="177" t="s">
        <v>59</v>
      </c>
      <c r="Q39" s="178">
        <v>88</v>
      </c>
      <c r="R39" s="179">
        <v>45997</v>
      </c>
      <c r="S39" s="180" t="s">
        <v>316</v>
      </c>
      <c r="T39" s="349"/>
      <c r="U39" s="349"/>
      <c r="V39" s="349"/>
    </row>
    <row r="40" spans="2:22" ht="15.75" customHeight="1" x14ac:dyDescent="0.2">
      <c r="F40" s="200" t="s">
        <v>364</v>
      </c>
      <c r="G40" s="200" t="s">
        <v>368</v>
      </c>
      <c r="H40" s="199"/>
      <c r="I40" s="201" t="s">
        <v>363</v>
      </c>
      <c r="J40" s="109" t="s">
        <v>369</v>
      </c>
      <c r="K40" s="350"/>
      <c r="P40" s="177" t="s">
        <v>35</v>
      </c>
      <c r="Q40" s="178">
        <v>-135</v>
      </c>
      <c r="R40" s="179">
        <v>45998</v>
      </c>
      <c r="S40" s="180" t="s">
        <v>315</v>
      </c>
      <c r="T40" s="349"/>
      <c r="U40" s="349"/>
      <c r="V40" s="349"/>
    </row>
    <row r="41" spans="2:22" ht="15.75" customHeight="1" x14ac:dyDescent="0.2">
      <c r="F41" s="203">
        <f>198+320+445+151</f>
        <v>1114</v>
      </c>
      <c r="G41" s="205">
        <f>SUMIFS(Q3:Q154,P3:P154,"Natal")</f>
        <v>346.18</v>
      </c>
      <c r="I41" s="207">
        <f>SUM(F41-G41)</f>
        <v>767.81999999999994</v>
      </c>
      <c r="J41" s="69">
        <f>I41-445</f>
        <v>322.81999999999994</v>
      </c>
      <c r="N41" s="143">
        <f>N33-N36</f>
        <v>58.724999999997181</v>
      </c>
      <c r="P41" s="168" t="s">
        <v>32</v>
      </c>
      <c r="Q41" s="137">
        <v>37.96</v>
      </c>
      <c r="R41" s="5">
        <v>45998</v>
      </c>
      <c r="S41" s="169" t="s">
        <v>318</v>
      </c>
      <c r="T41" s="349"/>
      <c r="U41" s="349"/>
      <c r="V41" s="349"/>
    </row>
    <row r="42" spans="2:22" ht="15.75" customHeight="1" x14ac:dyDescent="0.2">
      <c r="P42" s="6" t="s">
        <v>50</v>
      </c>
      <c r="Q42" s="137">
        <v>122.59</v>
      </c>
      <c r="R42" s="5">
        <v>45998</v>
      </c>
      <c r="S42" s="169" t="s">
        <v>319</v>
      </c>
    </row>
    <row r="43" spans="2:22" ht="15.75" customHeight="1" x14ac:dyDescent="0.2">
      <c r="F43" s="200" t="s">
        <v>380</v>
      </c>
      <c r="G43" s="209" t="s">
        <v>368</v>
      </c>
      <c r="I43" s="201" t="s">
        <v>363</v>
      </c>
      <c r="N43">
        <f>424+74.92-445</f>
        <v>53.920000000000016</v>
      </c>
      <c r="P43" s="168" t="s">
        <v>35</v>
      </c>
      <c r="Q43" s="137">
        <v>6.92</v>
      </c>
      <c r="R43" s="5">
        <v>45999</v>
      </c>
      <c r="S43" s="169" t="s">
        <v>209</v>
      </c>
    </row>
    <row r="44" spans="2:22" ht="15.75" customHeight="1" x14ac:dyDescent="0.2">
      <c r="F44" s="210">
        <v>517.5</v>
      </c>
      <c r="G44" s="210">
        <f>SUMIFS(Q3:Q154,P3:P154,"Décimo Vitória")</f>
        <v>473.90000000000003</v>
      </c>
      <c r="I44" s="210">
        <f>F44-G44</f>
        <v>43.599999999999966</v>
      </c>
      <c r="J44" s="69">
        <f>I47+I44</f>
        <v>66.569999999999936</v>
      </c>
      <c r="K44" s="69"/>
      <c r="P44" s="183" t="s">
        <v>50</v>
      </c>
      <c r="Q44" s="184">
        <v>-84</v>
      </c>
      <c r="R44" s="185">
        <v>45999</v>
      </c>
      <c r="S44" s="186" t="s">
        <v>320</v>
      </c>
    </row>
    <row r="45" spans="2:22" ht="15.75" customHeight="1" x14ac:dyDescent="0.2">
      <c r="P45" s="187" t="s">
        <v>33</v>
      </c>
      <c r="Q45" s="184">
        <v>-200</v>
      </c>
      <c r="R45" s="185">
        <v>45999</v>
      </c>
      <c r="S45" s="186" t="s">
        <v>320</v>
      </c>
    </row>
    <row r="46" spans="2:22" ht="15.75" customHeight="1" x14ac:dyDescent="0.2">
      <c r="F46" s="200" t="s">
        <v>381</v>
      </c>
      <c r="G46" s="209" t="s">
        <v>368</v>
      </c>
      <c r="I46" s="201" t="s">
        <v>363</v>
      </c>
      <c r="P46" s="188" t="s">
        <v>58</v>
      </c>
      <c r="Q46" s="184">
        <v>-100</v>
      </c>
      <c r="R46" s="185">
        <v>45999</v>
      </c>
      <c r="S46" s="186" t="s">
        <v>320</v>
      </c>
    </row>
    <row r="47" spans="2:22" ht="15.75" customHeight="1" x14ac:dyDescent="0.2">
      <c r="F47" s="210">
        <v>445.7</v>
      </c>
      <c r="G47" s="210">
        <f>SUMIFS(Q3:Q154,P3:P154,"Excedente Vitória")</f>
        <v>422.73</v>
      </c>
      <c r="I47" s="210">
        <f>F47-G47</f>
        <v>22.96999999999997</v>
      </c>
      <c r="P47" s="187" t="s">
        <v>59</v>
      </c>
      <c r="Q47" s="184">
        <v>-100</v>
      </c>
      <c r="R47" s="185">
        <v>45999</v>
      </c>
      <c r="S47" s="186" t="s">
        <v>320</v>
      </c>
    </row>
    <row r="48" spans="2:22" ht="15.75" customHeight="1" x14ac:dyDescent="0.2">
      <c r="P48" s="6" t="s">
        <v>365</v>
      </c>
      <c r="Q48" s="137">
        <v>63.64</v>
      </c>
      <c r="R48" s="5">
        <v>45999</v>
      </c>
      <c r="S48" s="169" t="s">
        <v>324</v>
      </c>
      <c r="V48" s="51"/>
    </row>
    <row r="49" spans="13:22" ht="15" customHeight="1" x14ac:dyDescent="0.2">
      <c r="N49" s="96"/>
      <c r="P49" s="168" t="s">
        <v>58</v>
      </c>
      <c r="Q49" s="137">
        <v>2.5</v>
      </c>
      <c r="R49" s="5">
        <v>45999</v>
      </c>
      <c r="S49" s="169" t="s">
        <v>325</v>
      </c>
      <c r="T49" s="51"/>
      <c r="U49" s="51"/>
      <c r="V49" s="51"/>
    </row>
    <row r="50" spans="13:22" ht="15.75" customHeight="1" x14ac:dyDescent="0.2">
      <c r="O50" s="96"/>
      <c r="P50" s="168" t="s">
        <v>35</v>
      </c>
      <c r="Q50" s="137">
        <v>7.96</v>
      </c>
      <c r="R50" s="5">
        <v>46000</v>
      </c>
      <c r="S50" s="169" t="s">
        <v>52</v>
      </c>
    </row>
    <row r="51" spans="13:22" ht="15.75" customHeight="1" x14ac:dyDescent="0.2">
      <c r="P51" s="168" t="s">
        <v>59</v>
      </c>
      <c r="Q51" s="137">
        <v>5.3</v>
      </c>
      <c r="R51" s="5">
        <v>46000</v>
      </c>
      <c r="S51" s="169" t="s">
        <v>329</v>
      </c>
    </row>
    <row r="52" spans="13:22" ht="15.75" customHeight="1" x14ac:dyDescent="0.2">
      <c r="P52" s="168" t="s">
        <v>35</v>
      </c>
      <c r="Q52" s="137">
        <v>8.92</v>
      </c>
      <c r="R52" s="5">
        <v>46001</v>
      </c>
      <c r="S52" s="169" t="s">
        <v>52</v>
      </c>
    </row>
    <row r="53" spans="13:22" ht="15.75" customHeight="1" x14ac:dyDescent="0.2">
      <c r="P53" s="168" t="s">
        <v>59</v>
      </c>
      <c r="Q53" s="137">
        <v>6.79</v>
      </c>
      <c r="R53" s="5">
        <v>46001</v>
      </c>
      <c r="S53" s="169" t="s">
        <v>151</v>
      </c>
    </row>
    <row r="54" spans="13:22" ht="15.75" customHeight="1" x14ac:dyDescent="0.2">
      <c r="P54" s="168" t="s">
        <v>59</v>
      </c>
      <c r="Q54" s="137">
        <v>14.99</v>
      </c>
      <c r="R54" s="5">
        <v>46001</v>
      </c>
      <c r="S54" s="169" t="s">
        <v>328</v>
      </c>
    </row>
    <row r="55" spans="13:22" ht="15.75" customHeight="1" x14ac:dyDescent="0.2">
      <c r="P55" s="168" t="s">
        <v>59</v>
      </c>
      <c r="Q55" s="137">
        <v>5.3</v>
      </c>
      <c r="R55" s="5">
        <v>46002</v>
      </c>
      <c r="S55" s="169" t="s">
        <v>329</v>
      </c>
    </row>
    <row r="56" spans="13:22" ht="15.75" customHeight="1" x14ac:dyDescent="0.2">
      <c r="P56" s="168" t="s">
        <v>59</v>
      </c>
      <c r="Q56" s="137">
        <v>22.4</v>
      </c>
      <c r="R56" s="5">
        <v>46002</v>
      </c>
      <c r="S56" s="169" t="s">
        <v>330</v>
      </c>
    </row>
    <row r="57" spans="13:22" ht="15.75" customHeight="1" x14ac:dyDescent="0.2">
      <c r="P57" s="168" t="s">
        <v>33</v>
      </c>
      <c r="Q57" s="137">
        <v>9.9</v>
      </c>
      <c r="R57" s="5">
        <v>46003</v>
      </c>
      <c r="S57" s="169" t="s">
        <v>322</v>
      </c>
    </row>
    <row r="58" spans="13:22" ht="15.75" customHeight="1" x14ac:dyDescent="0.2">
      <c r="P58" s="168" t="s">
        <v>33</v>
      </c>
      <c r="Q58" s="137">
        <v>100.37</v>
      </c>
      <c r="R58" s="5">
        <v>46003</v>
      </c>
      <c r="S58" s="169" t="s">
        <v>323</v>
      </c>
    </row>
    <row r="59" spans="13:22" ht="15.75" customHeight="1" x14ac:dyDescent="0.2">
      <c r="P59" s="168" t="s">
        <v>59</v>
      </c>
      <c r="Q59" s="137">
        <v>16.989999999999998</v>
      </c>
      <c r="R59" s="5">
        <v>46003</v>
      </c>
      <c r="S59" s="169" t="s">
        <v>328</v>
      </c>
    </row>
    <row r="60" spans="13:22" ht="15.75" customHeight="1" x14ac:dyDescent="0.2">
      <c r="P60" s="168" t="s">
        <v>35</v>
      </c>
      <c r="Q60" s="137">
        <v>30.82</v>
      </c>
      <c r="R60" s="5">
        <v>46003</v>
      </c>
      <c r="S60" s="169" t="s">
        <v>331</v>
      </c>
    </row>
    <row r="61" spans="13:22" ht="15.75" customHeight="1" x14ac:dyDescent="0.2">
      <c r="P61" s="168" t="s">
        <v>59</v>
      </c>
      <c r="Q61" s="137">
        <v>5.3</v>
      </c>
      <c r="R61" s="5">
        <v>46003</v>
      </c>
      <c r="S61" s="169" t="s">
        <v>329</v>
      </c>
    </row>
    <row r="62" spans="13:22" ht="15.75" customHeight="1" x14ac:dyDescent="0.2">
      <c r="P62" s="168" t="s">
        <v>35</v>
      </c>
      <c r="Q62" s="137">
        <v>35</v>
      </c>
      <c r="R62" s="5">
        <v>46004</v>
      </c>
      <c r="S62" s="169" t="s">
        <v>321</v>
      </c>
    </row>
    <row r="63" spans="13:22" ht="15.75" customHeight="1" x14ac:dyDescent="0.2">
      <c r="M63" t="s">
        <v>39</v>
      </c>
      <c r="O63" t="s">
        <v>39</v>
      </c>
      <c r="P63" s="168" t="s">
        <v>59</v>
      </c>
      <c r="Q63" s="137">
        <v>42</v>
      </c>
      <c r="R63" s="5">
        <v>46004</v>
      </c>
      <c r="S63" s="169" t="s">
        <v>326</v>
      </c>
    </row>
    <row r="64" spans="13:22" ht="15.75" customHeight="1" x14ac:dyDescent="0.2">
      <c r="P64" s="168" t="s">
        <v>35</v>
      </c>
      <c r="Q64" s="137">
        <v>79.260000000000005</v>
      </c>
      <c r="R64" s="5">
        <v>46004</v>
      </c>
      <c r="S64" s="169" t="s">
        <v>327</v>
      </c>
    </row>
    <row r="65" spans="16:19" ht="15.75" customHeight="1" x14ac:dyDescent="0.2">
      <c r="P65" s="168" t="s">
        <v>59</v>
      </c>
      <c r="Q65" s="137">
        <v>5.3</v>
      </c>
      <c r="R65" s="5">
        <v>46004</v>
      </c>
      <c r="S65" s="169" t="s">
        <v>329</v>
      </c>
    </row>
    <row r="66" spans="16:19" ht="15.75" customHeight="1" x14ac:dyDescent="0.2">
      <c r="P66" s="177" t="s">
        <v>35</v>
      </c>
      <c r="Q66" s="178">
        <v>-391.76</v>
      </c>
      <c r="R66" s="181"/>
      <c r="S66" s="180"/>
    </row>
    <row r="67" spans="16:19" ht="15.75" customHeight="1" x14ac:dyDescent="0.2">
      <c r="P67" s="168" t="s">
        <v>59</v>
      </c>
      <c r="Q67" s="137">
        <v>15</v>
      </c>
      <c r="R67" s="5">
        <v>46004</v>
      </c>
      <c r="S67" s="169" t="s">
        <v>332</v>
      </c>
    </row>
    <row r="68" spans="16:19" ht="15.75" customHeight="1" x14ac:dyDescent="0.2">
      <c r="P68" s="168" t="s">
        <v>59</v>
      </c>
      <c r="Q68" s="137">
        <v>12</v>
      </c>
      <c r="R68" s="5">
        <v>46004</v>
      </c>
      <c r="S68" s="169" t="s">
        <v>332</v>
      </c>
    </row>
    <row r="69" spans="16:19" ht="15.75" customHeight="1" x14ac:dyDescent="0.2">
      <c r="P69" s="168" t="s">
        <v>58</v>
      </c>
      <c r="Q69" s="137">
        <v>15</v>
      </c>
      <c r="R69" s="5">
        <v>46004</v>
      </c>
      <c r="S69" s="169" t="s">
        <v>332</v>
      </c>
    </row>
    <row r="70" spans="16:19" ht="15.75" customHeight="1" x14ac:dyDescent="0.2">
      <c r="P70" s="168" t="s">
        <v>33</v>
      </c>
      <c r="Q70" s="137">
        <v>172.5</v>
      </c>
      <c r="R70" s="5">
        <v>46005</v>
      </c>
      <c r="S70" s="169" t="s">
        <v>333</v>
      </c>
    </row>
    <row r="71" spans="16:19" ht="15.75" customHeight="1" x14ac:dyDescent="0.2">
      <c r="P71" s="168" t="s">
        <v>59</v>
      </c>
      <c r="Q71" s="137">
        <v>5.3</v>
      </c>
      <c r="R71" s="5">
        <v>46006</v>
      </c>
      <c r="S71" s="169" t="s">
        <v>329</v>
      </c>
    </row>
    <row r="72" spans="16:19" ht="15.75" customHeight="1" x14ac:dyDescent="0.2">
      <c r="P72" s="168" t="s">
        <v>59</v>
      </c>
      <c r="Q72" s="137">
        <v>14.99</v>
      </c>
      <c r="R72" s="5">
        <v>46006</v>
      </c>
      <c r="S72" s="169" t="s">
        <v>268</v>
      </c>
    </row>
    <row r="73" spans="16:19" ht="15.75" customHeight="1" x14ac:dyDescent="0.2">
      <c r="P73" s="168" t="s">
        <v>59</v>
      </c>
      <c r="Q73" s="137">
        <v>8.7899999999999991</v>
      </c>
      <c r="R73" s="5">
        <v>46006</v>
      </c>
      <c r="S73" s="169" t="s">
        <v>180</v>
      </c>
    </row>
    <row r="74" spans="16:19" ht="15.75" customHeight="1" x14ac:dyDescent="0.2">
      <c r="P74" s="168" t="s">
        <v>59</v>
      </c>
      <c r="Q74" s="137">
        <v>21.2</v>
      </c>
      <c r="R74" s="5">
        <v>46006</v>
      </c>
      <c r="S74" s="169" t="s">
        <v>334</v>
      </c>
    </row>
    <row r="75" spans="16:19" ht="15.75" customHeight="1" x14ac:dyDescent="0.2">
      <c r="P75" s="168" t="s">
        <v>59</v>
      </c>
      <c r="Q75" s="137">
        <v>147</v>
      </c>
      <c r="R75" s="5">
        <v>46006</v>
      </c>
      <c r="S75" s="169" t="s">
        <v>335</v>
      </c>
    </row>
    <row r="76" spans="16:19" ht="15.75" customHeight="1" x14ac:dyDescent="0.2">
      <c r="P76" s="189" t="s">
        <v>59</v>
      </c>
      <c r="Q76" s="190">
        <f>-247.28</f>
        <v>-247.28</v>
      </c>
      <c r="R76" s="191">
        <v>46006</v>
      </c>
      <c r="S76" s="192" t="s">
        <v>336</v>
      </c>
    </row>
    <row r="77" spans="16:19" ht="15.75" customHeight="1" x14ac:dyDescent="0.2">
      <c r="P77" s="168" t="s">
        <v>59</v>
      </c>
      <c r="Q77" s="137">
        <v>6.79</v>
      </c>
      <c r="R77" s="5">
        <v>46010</v>
      </c>
      <c r="S77" s="169" t="s">
        <v>340</v>
      </c>
    </row>
    <row r="78" spans="16:19" ht="15.75" customHeight="1" x14ac:dyDescent="0.2">
      <c r="P78" s="168" t="s">
        <v>59</v>
      </c>
      <c r="Q78" s="137">
        <v>21.4</v>
      </c>
      <c r="R78" s="5">
        <v>46010</v>
      </c>
      <c r="S78" s="169" t="s">
        <v>328</v>
      </c>
    </row>
    <row r="79" spans="16:19" ht="15.75" customHeight="1" x14ac:dyDescent="0.2">
      <c r="P79" s="168" t="s">
        <v>59</v>
      </c>
      <c r="Q79" s="137">
        <v>22.4</v>
      </c>
      <c r="R79" s="5">
        <v>46010</v>
      </c>
      <c r="S79" s="169" t="s">
        <v>340</v>
      </c>
    </row>
    <row r="80" spans="16:19" ht="15.75" customHeight="1" x14ac:dyDescent="0.2">
      <c r="P80" s="168" t="s">
        <v>59</v>
      </c>
      <c r="Q80" s="137">
        <v>6.79</v>
      </c>
      <c r="R80" s="5">
        <v>46010</v>
      </c>
      <c r="S80" s="169" t="s">
        <v>340</v>
      </c>
    </row>
    <row r="81" spans="14:19" ht="15.75" customHeight="1" x14ac:dyDescent="0.2">
      <c r="P81" s="168" t="s">
        <v>59</v>
      </c>
      <c r="Q81" s="137">
        <v>21.4</v>
      </c>
      <c r="R81" s="5">
        <v>46010</v>
      </c>
      <c r="S81" s="169" t="s">
        <v>328</v>
      </c>
    </row>
    <row r="82" spans="14:19" ht="15.75" customHeight="1" x14ac:dyDescent="0.2">
      <c r="P82" s="168" t="s">
        <v>59</v>
      </c>
      <c r="Q82" s="137">
        <v>19.5</v>
      </c>
      <c r="R82" s="5">
        <v>46010</v>
      </c>
      <c r="S82" s="169" t="s">
        <v>102</v>
      </c>
    </row>
    <row r="83" spans="14:19" ht="15.75" customHeight="1" x14ac:dyDescent="0.2">
      <c r="P83" s="168" t="s">
        <v>35</v>
      </c>
      <c r="Q83" s="137">
        <v>7.9</v>
      </c>
      <c r="R83" s="5">
        <v>46010</v>
      </c>
      <c r="S83" s="169" t="s">
        <v>52</v>
      </c>
    </row>
    <row r="84" spans="14:19" ht="15.75" customHeight="1" x14ac:dyDescent="0.2">
      <c r="P84" s="168" t="s">
        <v>35</v>
      </c>
      <c r="Q84" s="137">
        <v>55</v>
      </c>
      <c r="R84" s="5">
        <v>46010</v>
      </c>
      <c r="S84" s="169" t="s">
        <v>337</v>
      </c>
    </row>
    <row r="85" spans="14:19" ht="15.75" customHeight="1" x14ac:dyDescent="0.2">
      <c r="P85" s="6" t="s">
        <v>50</v>
      </c>
      <c r="Q85" s="137">
        <v>104.71</v>
      </c>
      <c r="R85" s="5">
        <v>46010</v>
      </c>
      <c r="S85" s="169" t="s">
        <v>338</v>
      </c>
    </row>
    <row r="86" spans="14:19" ht="15.75" customHeight="1" x14ac:dyDescent="0.2">
      <c r="P86" s="168" t="s">
        <v>59</v>
      </c>
      <c r="Q86" s="137">
        <v>8</v>
      </c>
      <c r="R86" s="5">
        <v>46010</v>
      </c>
      <c r="S86" s="169" t="s">
        <v>339</v>
      </c>
    </row>
    <row r="87" spans="14:19" ht="15.75" customHeight="1" x14ac:dyDescent="0.2">
      <c r="P87" s="168" t="s">
        <v>35</v>
      </c>
      <c r="Q87" s="137">
        <v>7.93</v>
      </c>
      <c r="R87" s="5">
        <v>46010</v>
      </c>
      <c r="S87" s="169" t="s">
        <v>52</v>
      </c>
    </row>
    <row r="88" spans="14:19" ht="15.75" customHeight="1" x14ac:dyDescent="0.2">
      <c r="P88" s="168" t="s">
        <v>35</v>
      </c>
      <c r="Q88" s="137">
        <v>13.9</v>
      </c>
      <c r="R88" s="5">
        <v>46010</v>
      </c>
      <c r="S88" s="169" t="s">
        <v>52</v>
      </c>
    </row>
    <row r="89" spans="14:19" ht="15.75" customHeight="1" x14ac:dyDescent="0.2">
      <c r="P89" s="6" t="s">
        <v>34</v>
      </c>
      <c r="Q89" s="137">
        <v>59.99</v>
      </c>
      <c r="R89" s="5">
        <v>46011</v>
      </c>
      <c r="S89" s="169" t="s">
        <v>341</v>
      </c>
    </row>
    <row r="90" spans="14:19" ht="15.75" customHeight="1" x14ac:dyDescent="0.2">
      <c r="P90" s="6" t="s">
        <v>32</v>
      </c>
      <c r="Q90" s="137">
        <v>65.959999999999994</v>
      </c>
      <c r="R90" s="5">
        <v>46011</v>
      </c>
      <c r="S90" s="169" t="s">
        <v>342</v>
      </c>
    </row>
    <row r="91" spans="14:19" ht="15.75" customHeight="1" x14ac:dyDescent="0.2">
      <c r="N91" s="69"/>
      <c r="P91" s="6" t="s">
        <v>50</v>
      </c>
      <c r="Q91" s="137">
        <v>29.8</v>
      </c>
      <c r="R91" s="5">
        <v>46011</v>
      </c>
      <c r="S91" s="169" t="s">
        <v>343</v>
      </c>
    </row>
    <row r="92" spans="14:19" ht="15.75" customHeight="1" x14ac:dyDescent="0.2">
      <c r="P92" s="6" t="s">
        <v>50</v>
      </c>
      <c r="Q92" s="137">
        <v>15</v>
      </c>
      <c r="R92" s="5">
        <v>46011</v>
      </c>
      <c r="S92" s="169" t="s">
        <v>261</v>
      </c>
    </row>
    <row r="93" spans="14:19" ht="15.75" customHeight="1" x14ac:dyDescent="0.2">
      <c r="P93" s="6" t="s">
        <v>58</v>
      </c>
      <c r="Q93" s="137">
        <v>12.76</v>
      </c>
      <c r="R93" s="5">
        <v>46011</v>
      </c>
      <c r="S93" s="169" t="s">
        <v>344</v>
      </c>
    </row>
    <row r="94" spans="14:19" ht="15.75" customHeight="1" x14ac:dyDescent="0.2">
      <c r="P94" s="6" t="s">
        <v>58</v>
      </c>
      <c r="Q94" s="137">
        <v>15</v>
      </c>
      <c r="R94" s="5">
        <v>46011</v>
      </c>
      <c r="S94" s="169" t="s">
        <v>345</v>
      </c>
    </row>
    <row r="95" spans="14:19" ht="15.75" customHeight="1" x14ac:dyDescent="0.2">
      <c r="P95" s="193" t="s">
        <v>365</v>
      </c>
      <c r="Q95" s="194">
        <v>352.99</v>
      </c>
      <c r="R95" s="196">
        <v>46012</v>
      </c>
      <c r="S95" s="195" t="s">
        <v>346</v>
      </c>
    </row>
    <row r="96" spans="14:19" ht="15.75" customHeight="1" x14ac:dyDescent="0.2">
      <c r="P96" s="168" t="s">
        <v>366</v>
      </c>
      <c r="Q96" s="198">
        <v>4.68</v>
      </c>
      <c r="R96" s="5">
        <v>46015</v>
      </c>
      <c r="S96" s="169" t="s">
        <v>117</v>
      </c>
    </row>
    <row r="97" spans="16:19" ht="15.75" customHeight="1" x14ac:dyDescent="0.2">
      <c r="P97" s="168" t="s">
        <v>366</v>
      </c>
      <c r="Q97" s="137">
        <v>25.43</v>
      </c>
      <c r="R97" s="5">
        <v>46015</v>
      </c>
      <c r="S97" s="169" t="s">
        <v>347</v>
      </c>
    </row>
    <row r="98" spans="16:19" ht="15.75" customHeight="1" x14ac:dyDescent="0.2">
      <c r="P98" s="168" t="s">
        <v>366</v>
      </c>
      <c r="Q98" s="137">
        <v>147.74</v>
      </c>
      <c r="R98" s="5">
        <v>46015</v>
      </c>
      <c r="S98" s="169" t="s">
        <v>347</v>
      </c>
    </row>
    <row r="99" spans="16:19" ht="15.75" customHeight="1" x14ac:dyDescent="0.2">
      <c r="P99" s="168" t="s">
        <v>58</v>
      </c>
      <c r="Q99" s="137">
        <v>22</v>
      </c>
      <c r="R99" s="5">
        <v>46015</v>
      </c>
      <c r="S99" s="169" t="s">
        <v>348</v>
      </c>
    </row>
    <row r="100" spans="16:19" ht="15.75" customHeight="1" x14ac:dyDescent="0.2">
      <c r="P100" s="168" t="s">
        <v>50</v>
      </c>
      <c r="Q100" s="137">
        <v>221.42</v>
      </c>
      <c r="R100" s="5">
        <v>46012</v>
      </c>
      <c r="S100" s="169" t="s">
        <v>349</v>
      </c>
    </row>
    <row r="101" spans="16:19" ht="15.75" customHeight="1" x14ac:dyDescent="0.2">
      <c r="P101" s="168" t="s">
        <v>366</v>
      </c>
      <c r="Q101" s="137">
        <v>16.89</v>
      </c>
      <c r="R101" s="5">
        <v>46015</v>
      </c>
      <c r="S101" s="169" t="s">
        <v>350</v>
      </c>
    </row>
    <row r="102" spans="16:19" ht="15.75" customHeight="1" x14ac:dyDescent="0.2">
      <c r="P102" s="168" t="s">
        <v>21</v>
      </c>
      <c r="Q102" s="137">
        <v>78.290000000000006</v>
      </c>
      <c r="R102" s="5">
        <v>46015</v>
      </c>
      <c r="S102" s="169" t="s">
        <v>351</v>
      </c>
    </row>
    <row r="103" spans="16:19" ht="15.75" customHeight="1" x14ac:dyDescent="0.2">
      <c r="P103" s="168" t="s">
        <v>366</v>
      </c>
      <c r="Q103" s="137">
        <v>121.94</v>
      </c>
      <c r="R103" s="5">
        <v>46015</v>
      </c>
      <c r="S103" s="169" t="s">
        <v>352</v>
      </c>
    </row>
    <row r="104" spans="16:19" ht="15.75" customHeight="1" x14ac:dyDescent="0.2">
      <c r="P104" s="120" t="s">
        <v>366</v>
      </c>
      <c r="Q104" s="142">
        <v>24</v>
      </c>
      <c r="R104" s="50">
        <v>46015</v>
      </c>
      <c r="S104" s="170" t="s">
        <v>353</v>
      </c>
    </row>
    <row r="105" spans="16:19" ht="15.75" customHeight="1" x14ac:dyDescent="0.2">
      <c r="P105" s="120" t="s">
        <v>366</v>
      </c>
      <c r="Q105" s="142">
        <v>5.5</v>
      </c>
      <c r="R105" s="50">
        <v>46015</v>
      </c>
      <c r="S105" s="170" t="s">
        <v>367</v>
      </c>
    </row>
    <row r="106" spans="16:19" ht="15.75" customHeight="1" x14ac:dyDescent="0.2">
      <c r="P106" s="120" t="s">
        <v>365</v>
      </c>
      <c r="Q106" s="142">
        <f>167.74+326.61</f>
        <v>494.35</v>
      </c>
      <c r="R106" s="50">
        <v>46015</v>
      </c>
      <c r="S106" s="170" t="s">
        <v>354</v>
      </c>
    </row>
    <row r="107" spans="16:19" ht="15.75" customHeight="1" x14ac:dyDescent="0.2">
      <c r="P107" s="120" t="s">
        <v>365</v>
      </c>
      <c r="Q107" s="142">
        <v>30</v>
      </c>
      <c r="R107" s="50">
        <v>46015</v>
      </c>
      <c r="S107" s="170" t="s">
        <v>355</v>
      </c>
    </row>
    <row r="108" spans="16:19" ht="15.75" customHeight="1" x14ac:dyDescent="0.2">
      <c r="P108" s="120" t="s">
        <v>365</v>
      </c>
      <c r="Q108" s="142">
        <v>31.4</v>
      </c>
      <c r="R108" s="50">
        <v>46014</v>
      </c>
      <c r="S108" s="170" t="s">
        <v>356</v>
      </c>
    </row>
    <row r="109" spans="16:19" ht="15.75" customHeight="1" x14ac:dyDescent="0.2">
      <c r="P109" s="120" t="s">
        <v>365</v>
      </c>
      <c r="Q109" s="142">
        <v>108</v>
      </c>
      <c r="R109" s="50">
        <v>46013</v>
      </c>
      <c r="S109" s="170" t="s">
        <v>291</v>
      </c>
    </row>
    <row r="110" spans="16:19" ht="15.75" customHeight="1" x14ac:dyDescent="0.2">
      <c r="P110" s="120" t="s">
        <v>50</v>
      </c>
      <c r="Q110" s="142">
        <v>16.489999999999998</v>
      </c>
      <c r="R110" s="50">
        <v>46013</v>
      </c>
      <c r="S110" s="170" t="s">
        <v>357</v>
      </c>
    </row>
    <row r="111" spans="16:19" ht="15.75" customHeight="1" x14ac:dyDescent="0.2">
      <c r="P111" s="120" t="s">
        <v>58</v>
      </c>
      <c r="Q111" s="142">
        <v>65.66</v>
      </c>
      <c r="R111" s="50">
        <v>46013</v>
      </c>
      <c r="S111" s="170" t="s">
        <v>358</v>
      </c>
    </row>
    <row r="112" spans="16:19" ht="15.75" customHeight="1" x14ac:dyDescent="0.2">
      <c r="P112" s="120" t="s">
        <v>33</v>
      </c>
      <c r="Q112" s="142">
        <v>64</v>
      </c>
      <c r="R112" s="50">
        <v>46012</v>
      </c>
      <c r="S112" s="170" t="s">
        <v>359</v>
      </c>
    </row>
    <row r="113" spans="16:19" ht="15.75" customHeight="1" x14ac:dyDescent="0.2">
      <c r="P113" s="120" t="s">
        <v>58</v>
      </c>
      <c r="Q113" s="142">
        <v>10</v>
      </c>
      <c r="R113" s="50">
        <v>46011</v>
      </c>
      <c r="S113" s="170" t="s">
        <v>250</v>
      </c>
    </row>
    <row r="114" spans="16:19" ht="15.75" customHeight="1" x14ac:dyDescent="0.2">
      <c r="P114" s="120" t="s">
        <v>58</v>
      </c>
      <c r="Q114" s="142">
        <v>8</v>
      </c>
      <c r="R114" s="50">
        <v>46008</v>
      </c>
      <c r="S114" s="170" t="s">
        <v>360</v>
      </c>
    </row>
    <row r="115" spans="16:19" ht="15.75" customHeight="1" x14ac:dyDescent="0.2">
      <c r="P115" s="120" t="s">
        <v>19</v>
      </c>
      <c r="Q115" s="142">
        <v>44</v>
      </c>
      <c r="R115" s="50">
        <v>46008</v>
      </c>
      <c r="S115" s="170" t="s">
        <v>361</v>
      </c>
    </row>
    <row r="116" spans="16:19" ht="15.75" customHeight="1" x14ac:dyDescent="0.2">
      <c r="P116" s="120" t="s">
        <v>58</v>
      </c>
      <c r="Q116" s="142">
        <v>40</v>
      </c>
      <c r="R116" s="50">
        <v>46008</v>
      </c>
      <c r="S116" s="170" t="s">
        <v>362</v>
      </c>
    </row>
    <row r="117" spans="16:19" ht="15.75" customHeight="1" x14ac:dyDescent="0.2">
      <c r="P117" s="120" t="s">
        <v>21</v>
      </c>
      <c r="Q117" s="142">
        <v>79.61</v>
      </c>
      <c r="R117" s="50">
        <v>46007</v>
      </c>
      <c r="S117" s="170" t="s">
        <v>351</v>
      </c>
    </row>
    <row r="118" spans="16:19" ht="15.75" customHeight="1" x14ac:dyDescent="0.2">
      <c r="P118" s="120" t="s">
        <v>382</v>
      </c>
      <c r="Q118" s="197">
        <v>35</v>
      </c>
      <c r="R118" s="50">
        <v>46013</v>
      </c>
      <c r="S118" s="170" t="s">
        <v>326</v>
      </c>
    </row>
    <row r="119" spans="16:19" ht="15.75" customHeight="1" x14ac:dyDescent="0.2">
      <c r="P119" s="120" t="s">
        <v>382</v>
      </c>
      <c r="Q119" s="197">
        <v>391.99</v>
      </c>
      <c r="R119" s="50">
        <v>46013</v>
      </c>
      <c r="S119" s="170" t="s">
        <v>370</v>
      </c>
    </row>
    <row r="120" spans="16:19" ht="15.75" customHeight="1" x14ac:dyDescent="0.2">
      <c r="P120" s="120" t="s">
        <v>382</v>
      </c>
      <c r="Q120" s="197">
        <v>38</v>
      </c>
      <c r="R120" s="50">
        <v>46013</v>
      </c>
      <c r="S120" s="170" t="s">
        <v>371</v>
      </c>
    </row>
    <row r="121" spans="16:19" ht="15.75" customHeight="1" x14ac:dyDescent="0.2">
      <c r="P121" s="120" t="s">
        <v>382</v>
      </c>
      <c r="Q121" s="197">
        <v>8.91</v>
      </c>
      <c r="R121" s="50">
        <v>46013</v>
      </c>
      <c r="S121" s="170" t="s">
        <v>209</v>
      </c>
    </row>
    <row r="122" spans="16:19" ht="15.75" customHeight="1" x14ac:dyDescent="0.2">
      <c r="P122" s="120" t="s">
        <v>383</v>
      </c>
      <c r="Q122" s="197">
        <v>80</v>
      </c>
      <c r="R122" s="50">
        <v>46013</v>
      </c>
      <c r="S122" s="170" t="s">
        <v>372</v>
      </c>
    </row>
    <row r="123" spans="16:19" ht="15.75" customHeight="1" x14ac:dyDescent="0.2">
      <c r="P123" s="120" t="s">
        <v>35</v>
      </c>
      <c r="Q123" s="197">
        <v>10.95</v>
      </c>
      <c r="R123" s="50">
        <v>46014</v>
      </c>
      <c r="S123" s="170" t="s">
        <v>373</v>
      </c>
    </row>
    <row r="124" spans="16:19" ht="15.75" customHeight="1" x14ac:dyDescent="0.2">
      <c r="P124" s="120" t="s">
        <v>35</v>
      </c>
      <c r="Q124" s="197">
        <v>9.9</v>
      </c>
      <c r="R124" s="50">
        <v>46014</v>
      </c>
      <c r="S124" s="170" t="s">
        <v>373</v>
      </c>
    </row>
    <row r="125" spans="16:19" ht="15.75" customHeight="1" x14ac:dyDescent="0.2">
      <c r="P125" s="120" t="s">
        <v>383</v>
      </c>
      <c r="Q125" s="197">
        <v>10</v>
      </c>
      <c r="R125" s="50">
        <v>46014</v>
      </c>
      <c r="S125" s="170" t="s">
        <v>374</v>
      </c>
    </row>
    <row r="126" spans="16:19" ht="15.75" customHeight="1" x14ac:dyDescent="0.2">
      <c r="P126" s="120" t="s">
        <v>383</v>
      </c>
      <c r="Q126" s="197">
        <f>103.03-85</f>
        <v>18.03</v>
      </c>
      <c r="R126" s="50">
        <v>46014</v>
      </c>
      <c r="S126" s="170" t="s">
        <v>375</v>
      </c>
    </row>
    <row r="127" spans="16:19" ht="15.75" customHeight="1" x14ac:dyDescent="0.2">
      <c r="P127" s="120" t="s">
        <v>383</v>
      </c>
      <c r="Q127" s="197">
        <v>108</v>
      </c>
      <c r="R127" s="50">
        <v>46014</v>
      </c>
      <c r="S127" s="170" t="s">
        <v>376</v>
      </c>
    </row>
    <row r="128" spans="16:19" ht="15.75" customHeight="1" x14ac:dyDescent="0.2">
      <c r="P128" s="120" t="s">
        <v>383</v>
      </c>
      <c r="Q128" s="197">
        <v>5.99</v>
      </c>
      <c r="R128" s="50">
        <v>46014</v>
      </c>
      <c r="S128" s="170" t="s">
        <v>377</v>
      </c>
    </row>
    <row r="129" spans="16:19" ht="15.75" customHeight="1" x14ac:dyDescent="0.2">
      <c r="P129" s="120" t="s">
        <v>383</v>
      </c>
      <c r="Q129" s="197">
        <v>11.98</v>
      </c>
      <c r="R129" s="50">
        <v>46014</v>
      </c>
      <c r="S129" s="170" t="s">
        <v>377</v>
      </c>
    </row>
    <row r="130" spans="16:19" ht="15.75" customHeight="1" x14ac:dyDescent="0.2">
      <c r="P130" s="120" t="s">
        <v>383</v>
      </c>
      <c r="Q130" s="197">
        <v>99.98</v>
      </c>
      <c r="R130" s="50">
        <v>46014</v>
      </c>
      <c r="S130" s="170" t="s">
        <v>378</v>
      </c>
    </row>
    <row r="131" spans="16:19" ht="15.75" customHeight="1" x14ac:dyDescent="0.2">
      <c r="P131" s="211" t="s">
        <v>21</v>
      </c>
      <c r="Q131" s="212">
        <v>-107.02</v>
      </c>
      <c r="R131" s="213">
        <v>46017</v>
      </c>
      <c r="S131" s="214" t="s">
        <v>384</v>
      </c>
    </row>
    <row r="132" spans="16:19" ht="15.75" customHeight="1" x14ac:dyDescent="0.2">
      <c r="P132" s="211" t="s">
        <v>365</v>
      </c>
      <c r="Q132" s="212">
        <v>107</v>
      </c>
      <c r="R132" s="213">
        <v>46017</v>
      </c>
      <c r="S132" s="214" t="s">
        <v>384</v>
      </c>
    </row>
    <row r="133" spans="16:19" ht="15.75" customHeight="1" x14ac:dyDescent="0.2">
      <c r="P133" s="120" t="s">
        <v>365</v>
      </c>
      <c r="Q133" s="197">
        <v>50</v>
      </c>
      <c r="R133" s="50">
        <v>46020</v>
      </c>
      <c r="S133" s="170" t="s">
        <v>385</v>
      </c>
    </row>
    <row r="134" spans="16:19" ht="15.75" customHeight="1" x14ac:dyDescent="0.2">
      <c r="P134" s="120" t="s">
        <v>365</v>
      </c>
      <c r="Q134" s="197">
        <f>28+8.7</f>
        <v>36.700000000000003</v>
      </c>
      <c r="R134" s="50">
        <v>46020</v>
      </c>
      <c r="S134" s="170" t="s">
        <v>386</v>
      </c>
    </row>
    <row r="135" spans="16:19" ht="15.75" customHeight="1" x14ac:dyDescent="0.2">
      <c r="P135" s="120" t="s">
        <v>365</v>
      </c>
      <c r="Q135" s="197">
        <v>114.8</v>
      </c>
      <c r="R135" s="50">
        <v>46017</v>
      </c>
      <c r="S135" s="170" t="s">
        <v>387</v>
      </c>
    </row>
    <row r="136" spans="16:19" ht="15.75" customHeight="1" x14ac:dyDescent="0.2">
      <c r="P136" s="120" t="s">
        <v>365</v>
      </c>
      <c r="Q136" s="197">
        <v>33.1</v>
      </c>
      <c r="R136" s="50">
        <v>46017</v>
      </c>
      <c r="S136" s="170" t="s">
        <v>303</v>
      </c>
    </row>
    <row r="137" spans="16:19" ht="15.75" customHeight="1" x14ac:dyDescent="0.2">
      <c r="P137" s="120" t="s">
        <v>365</v>
      </c>
      <c r="Q137" s="197">
        <v>7</v>
      </c>
      <c r="R137" s="50">
        <v>46017</v>
      </c>
      <c r="S137" s="170" t="s">
        <v>388</v>
      </c>
    </row>
    <row r="138" spans="16:19" ht="15.75" customHeight="1" x14ac:dyDescent="0.2">
      <c r="P138" s="120" t="s">
        <v>365</v>
      </c>
      <c r="Q138" s="197">
        <v>46.7</v>
      </c>
      <c r="R138" s="50">
        <v>46017</v>
      </c>
      <c r="S138" s="170" t="s">
        <v>389</v>
      </c>
    </row>
    <row r="139" spans="16:19" ht="15.75" customHeight="1" x14ac:dyDescent="0.2">
      <c r="P139" s="120" t="s">
        <v>365</v>
      </c>
      <c r="Q139" s="197">
        <v>12.99</v>
      </c>
      <c r="R139" s="50">
        <v>46017</v>
      </c>
      <c r="S139" s="170" t="s">
        <v>390</v>
      </c>
    </row>
    <row r="140" spans="16:19" ht="15.75" customHeight="1" x14ac:dyDescent="0.2">
      <c r="P140" s="120" t="s">
        <v>365</v>
      </c>
      <c r="Q140" s="197">
        <v>27.99</v>
      </c>
      <c r="R140" s="50">
        <v>46019</v>
      </c>
      <c r="S140" s="170" t="s">
        <v>391</v>
      </c>
    </row>
    <row r="141" spans="16:19" ht="15.75" customHeight="1" x14ac:dyDescent="0.2">
      <c r="P141" s="120" t="s">
        <v>365</v>
      </c>
      <c r="Q141" s="197">
        <v>46.49</v>
      </c>
      <c r="R141" s="50">
        <v>46019</v>
      </c>
      <c r="S141" s="170" t="s">
        <v>392</v>
      </c>
    </row>
    <row r="142" spans="16:19" ht="15.75" customHeight="1" x14ac:dyDescent="0.2">
      <c r="P142" s="120" t="s">
        <v>365</v>
      </c>
      <c r="Q142" s="197">
        <v>7.98</v>
      </c>
      <c r="R142" s="50">
        <v>46019</v>
      </c>
      <c r="S142" s="170" t="s">
        <v>393</v>
      </c>
    </row>
    <row r="143" spans="16:19" ht="15.75" customHeight="1" x14ac:dyDescent="0.2">
      <c r="P143" s="120" t="s">
        <v>365</v>
      </c>
      <c r="Q143" s="197">
        <v>35</v>
      </c>
      <c r="R143" s="50">
        <v>46020</v>
      </c>
      <c r="S143" s="170" t="s">
        <v>321</v>
      </c>
    </row>
    <row r="144" spans="16:19" ht="15.75" customHeight="1" x14ac:dyDescent="0.2">
      <c r="P144" s="120" t="s">
        <v>365</v>
      </c>
      <c r="Q144" s="197">
        <v>39.5</v>
      </c>
      <c r="R144" s="50">
        <v>46020</v>
      </c>
      <c r="S144" s="50" t="s">
        <v>394</v>
      </c>
    </row>
    <row r="145" spans="16:19" ht="15.75" customHeight="1" x14ac:dyDescent="0.2">
      <c r="P145" s="120" t="s">
        <v>365</v>
      </c>
      <c r="Q145" s="197">
        <v>30</v>
      </c>
      <c r="R145" s="50">
        <v>46019</v>
      </c>
      <c r="S145" s="170" t="s">
        <v>395</v>
      </c>
    </row>
    <row r="146" spans="16:19" ht="15.75" customHeight="1" x14ac:dyDescent="0.2">
      <c r="P146" s="120" t="s">
        <v>383</v>
      </c>
      <c r="Q146" s="197">
        <v>75</v>
      </c>
      <c r="R146" s="50">
        <v>46020</v>
      </c>
      <c r="S146" s="170" t="s">
        <v>398</v>
      </c>
    </row>
    <row r="147" spans="16:19" ht="15.75" customHeight="1" x14ac:dyDescent="0.2">
      <c r="P147" s="120" t="s">
        <v>383</v>
      </c>
      <c r="Q147" s="197">
        <v>6.87</v>
      </c>
      <c r="R147" s="50">
        <v>46020</v>
      </c>
      <c r="S147" s="170" t="s">
        <v>397</v>
      </c>
    </row>
    <row r="148" spans="16:19" ht="15.75" customHeight="1" x14ac:dyDescent="0.2">
      <c r="P148" s="120" t="s">
        <v>383</v>
      </c>
      <c r="Q148" s="197">
        <v>6.88</v>
      </c>
      <c r="R148" s="50">
        <v>46019</v>
      </c>
      <c r="S148" s="170" t="s">
        <v>396</v>
      </c>
    </row>
    <row r="149" spans="16:19" ht="15.75" customHeight="1" x14ac:dyDescent="0.2">
      <c r="P149" s="120" t="s">
        <v>365</v>
      </c>
      <c r="Q149" s="197">
        <v>22.5</v>
      </c>
      <c r="R149" s="50">
        <v>46020</v>
      </c>
      <c r="S149" s="170" t="s">
        <v>399</v>
      </c>
    </row>
    <row r="150" spans="16:19" ht="15.75" customHeight="1" x14ac:dyDescent="0.2">
      <c r="P150" s="120" t="s">
        <v>365</v>
      </c>
      <c r="Q150" s="197">
        <v>12</v>
      </c>
      <c r="R150" s="50">
        <v>46021</v>
      </c>
      <c r="S150" s="170" t="s">
        <v>400</v>
      </c>
    </row>
    <row r="151" spans="16:19" ht="15.75" customHeight="1" x14ac:dyDescent="0.2">
      <c r="P151" s="120" t="s">
        <v>365</v>
      </c>
      <c r="Q151" s="197">
        <v>85</v>
      </c>
      <c r="R151" s="50">
        <v>46021</v>
      </c>
      <c r="S151" s="170" t="s">
        <v>78</v>
      </c>
    </row>
    <row r="152" spans="16:19" ht="15.75" customHeight="1" x14ac:dyDescent="0.2">
      <c r="P152" s="120" t="s">
        <v>365</v>
      </c>
      <c r="Q152" s="197">
        <v>26</v>
      </c>
      <c r="R152" s="50">
        <v>46021</v>
      </c>
      <c r="S152" s="170" t="s">
        <v>401</v>
      </c>
    </row>
    <row r="153" spans="16:19" ht="15.75" customHeight="1" x14ac:dyDescent="0.2">
      <c r="P153" s="120" t="s">
        <v>365</v>
      </c>
      <c r="Q153" s="197">
        <v>17</v>
      </c>
      <c r="R153" s="50">
        <v>46021</v>
      </c>
      <c r="S153" s="217" t="s">
        <v>52</v>
      </c>
    </row>
    <row r="154" spans="16:19" ht="15.75" customHeight="1" x14ac:dyDescent="0.2">
      <c r="P154" s="120" t="s">
        <v>365</v>
      </c>
      <c r="Q154" s="197">
        <v>7</v>
      </c>
      <c r="R154" s="50">
        <v>46021</v>
      </c>
      <c r="S154" s="170" t="s">
        <v>163</v>
      </c>
    </row>
  </sheetData>
  <mergeCells count="12">
    <mergeCell ref="T36:V41"/>
    <mergeCell ref="E22:G22"/>
    <mergeCell ref="K22:N23"/>
    <mergeCell ref="K24:N25"/>
    <mergeCell ref="B2:C2"/>
    <mergeCell ref="B7:B8"/>
    <mergeCell ref="M11:N11"/>
    <mergeCell ref="B12:B13"/>
    <mergeCell ref="C12:C13"/>
    <mergeCell ref="B16:B17"/>
    <mergeCell ref="C16:C17"/>
    <mergeCell ref="K38:K40"/>
  </mergeCells>
  <conditionalFormatting sqref="F24:F33">
    <cfRule type="cellIs" dxfId="83" priority="6" operator="greaterThan">
      <formula>0</formula>
    </cfRule>
    <cfRule type="cellIs" dxfId="82" priority="10" operator="lessThan">
      <formula>0</formula>
    </cfRule>
  </conditionalFormatting>
  <conditionalFormatting sqref="G24:G33">
    <cfRule type="cellIs" dxfId="81" priority="1" operator="lessThan">
      <formula>0</formula>
    </cfRule>
    <cfRule type="cellIs" dxfId="80" priority="2" operator="greaterThan">
      <formula>0</formula>
    </cfRule>
    <cfRule type="cellIs" dxfId="79" priority="3" operator="greaterThan">
      <formula>0</formula>
    </cfRule>
  </conditionalFormatting>
  <conditionalFormatting sqref="K22">
    <cfRule type="containsText" dxfId="78" priority="5" operator="containsText" text="Gasto com Extra ok">
      <formula>NOT(ISERROR(SEARCH("Gasto com Extra ok",K22)))</formula>
    </cfRule>
    <cfRule type="containsText" dxfId="77" priority="7" operator="containsText" text="Continuem assim">
      <formula>NOT(ISERROR(SEARCH("Continuem assim",K22)))</formula>
    </cfRule>
    <cfRule type="containsText" dxfId="76" priority="11" operator="containsText" text="ATENÇÃO, JÁ GASTAMOS">
      <formula>NOT(ISERROR(SEARCH("ATENÇÃO, JÁ GASTAMOS",K22)))</formula>
    </cfRule>
    <cfRule type="containsText" dxfId="75" priority="12" operator="containsText" text="ATENÇÃO, JA GASTAMOS">
      <formula>NOT(ISERROR(SEARCH("ATENÇÃO, JA GASTAMOS",K22)))</formula>
    </cfRule>
    <cfRule type="containsText" dxfId="74" priority="13" operator="containsText" text="ATENÇÃO PARA OS GASTOS">
      <formula>NOT(ISERROR(SEARCH("ATENÇÃO PARA OS GASTOS",K22)))</formula>
    </cfRule>
    <cfRule type="cellIs" dxfId="73" priority="14" operator="lessThan">
      <formula>150</formula>
    </cfRule>
  </conditionalFormatting>
  <conditionalFormatting sqref="K24">
    <cfRule type="containsText" dxfId="72" priority="8" operator="containsText" text="Os valores estão positivos">
      <formula>NOT(ISERROR(SEARCH("Os valores estão positivos",K24)))</formula>
    </cfRule>
    <cfRule type="containsText" dxfId="71" priority="9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70" priority="4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F11E-6B9D-4ACE-8B63-6441DE449738}">
  <sheetPr>
    <outlinePr summaryBelow="0" summaryRight="0"/>
  </sheetPr>
  <dimension ref="B1:V150"/>
  <sheetViews>
    <sheetView topLeftCell="B1" zoomScaleNormal="100" workbookViewId="0">
      <selection activeCell="F14" sqref="F14"/>
    </sheetView>
  </sheetViews>
  <sheetFormatPr defaultColWidth="12.5703125" defaultRowHeight="15.75" customHeight="1" x14ac:dyDescent="0.2"/>
  <cols>
    <col min="1" max="1" width="1.5703125" customWidth="1"/>
    <col min="2" max="2" width="27.85546875" customWidth="1"/>
    <col min="3" max="3" width="17.28515625" bestFit="1" customWidth="1"/>
    <col min="4" max="4" width="2.42578125" customWidth="1"/>
    <col min="5" max="5" width="22.85546875" bestFit="1" customWidth="1"/>
    <col min="6" max="6" width="23.425781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13.42578125" bestFit="1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2.42578125" style="69" bestFit="1" customWidth="1"/>
    <col min="18" max="18" width="9.7109375" bestFit="1" customWidth="1"/>
    <col min="19" max="19" width="51.7109375" bestFit="1" customWidth="1"/>
    <col min="20" max="20" width="12.42578125" bestFit="1" customWidth="1"/>
    <col min="21" max="21" width="7" bestFit="1" customWidth="1"/>
    <col min="22" max="22" width="17.28515625" bestFit="1" customWidth="1"/>
    <col min="23" max="23" width="13.140625" customWidth="1"/>
    <col min="24" max="24" width="17.28515625" bestFit="1" customWidth="1"/>
    <col min="25" max="25" width="22.28515625" bestFit="1" customWidth="1"/>
    <col min="28" max="28" width="22.28515625" bestFit="1" customWidth="1"/>
  </cols>
  <sheetData>
    <row r="1" spans="2:22" ht="9" customHeight="1" x14ac:dyDescent="0.2">
      <c r="T1" s="51"/>
      <c r="U1" s="51"/>
      <c r="V1" s="51"/>
    </row>
    <row r="2" spans="2:22" ht="15.75" customHeight="1" x14ac:dyDescent="0.2">
      <c r="B2" s="339" t="s">
        <v>0</v>
      </c>
      <c r="C2" s="340"/>
      <c r="D2" s="37"/>
      <c r="E2" s="98" t="s">
        <v>1</v>
      </c>
      <c r="F2" s="100" t="s">
        <v>27</v>
      </c>
      <c r="H2" s="37"/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5" t="s">
        <v>60</v>
      </c>
      <c r="Q2" s="174" t="s">
        <v>27</v>
      </c>
      <c r="R2" s="162" t="s">
        <v>36</v>
      </c>
      <c r="S2" s="163" t="s">
        <v>37</v>
      </c>
      <c r="T2" s="234" t="s">
        <v>417</v>
      </c>
      <c r="U2" s="51"/>
      <c r="V2" s="52"/>
    </row>
    <row r="3" spans="2:22" ht="15.75" customHeight="1" x14ac:dyDescent="0.2">
      <c r="B3" s="1" t="s">
        <v>43</v>
      </c>
      <c r="C3" s="1">
        <v>1751.86</v>
      </c>
      <c r="D3" s="37"/>
      <c r="E3" s="97" t="s">
        <v>4</v>
      </c>
      <c r="F3" s="101">
        <v>760</v>
      </c>
      <c r="H3" s="37"/>
      <c r="I3" s="126" t="s">
        <v>3</v>
      </c>
      <c r="J3" s="125">
        <v>64.900000000000006</v>
      </c>
      <c r="K3" s="129">
        <v>45936</v>
      </c>
      <c r="M3" s="25" t="s">
        <v>2</v>
      </c>
      <c r="N3" s="26" t="s">
        <v>39</v>
      </c>
      <c r="P3" s="253" t="s">
        <v>58</v>
      </c>
      <c r="Q3" s="240">
        <v>28.5</v>
      </c>
      <c r="R3" s="241">
        <v>18.010000000000002</v>
      </c>
      <c r="S3" s="242" t="s">
        <v>443</v>
      </c>
      <c r="T3" s="247" t="s">
        <v>418</v>
      </c>
      <c r="V3" s="52"/>
    </row>
    <row r="4" spans="2:22" ht="15.75" customHeight="1" x14ac:dyDescent="0.2">
      <c r="B4" s="1" t="s">
        <v>44</v>
      </c>
      <c r="C4" s="1">
        <v>1921</v>
      </c>
      <c r="D4" s="37"/>
      <c r="E4" s="97" t="s">
        <v>6</v>
      </c>
      <c r="F4" s="101">
        <v>596</v>
      </c>
      <c r="G4" s="109"/>
      <c r="H4" s="37"/>
      <c r="I4" s="126" t="s">
        <v>5</v>
      </c>
      <c r="J4" s="125">
        <v>147</v>
      </c>
      <c r="K4" s="129">
        <v>45999</v>
      </c>
      <c r="M4" s="25" t="s">
        <v>3</v>
      </c>
      <c r="N4" s="26">
        <v>24.9</v>
      </c>
      <c r="P4" s="8" t="s">
        <v>59</v>
      </c>
      <c r="Q4" s="137">
        <v>15</v>
      </c>
      <c r="R4" s="5">
        <v>46019</v>
      </c>
      <c r="S4" s="231" t="s">
        <v>406</v>
      </c>
      <c r="T4" s="175"/>
      <c r="V4" s="52"/>
    </row>
    <row r="5" spans="2:22" ht="15.75" customHeight="1" x14ac:dyDescent="0.2">
      <c r="B5" s="1" t="s">
        <v>56</v>
      </c>
      <c r="C5" s="219">
        <v>700</v>
      </c>
      <c r="D5" s="37"/>
      <c r="E5" s="97" t="s">
        <v>9</v>
      </c>
      <c r="F5" s="101">
        <v>295</v>
      </c>
      <c r="G5" s="109"/>
      <c r="H5" s="37"/>
      <c r="I5" s="126" t="s">
        <v>8</v>
      </c>
      <c r="J5" s="125">
        <v>39</v>
      </c>
      <c r="K5" s="129">
        <v>45939</v>
      </c>
      <c r="M5" s="25" t="s">
        <v>7</v>
      </c>
      <c r="N5" s="26">
        <v>11.8</v>
      </c>
      <c r="P5" s="168" t="s">
        <v>35</v>
      </c>
      <c r="Q5" s="137">
        <v>30</v>
      </c>
      <c r="R5" s="5">
        <v>46021</v>
      </c>
      <c r="S5" s="231" t="s">
        <v>407</v>
      </c>
      <c r="T5" s="175"/>
      <c r="V5" s="52"/>
    </row>
    <row r="6" spans="2:22" ht="15.75" customHeight="1" x14ac:dyDescent="0.2">
      <c r="B6" s="1" t="s">
        <v>63</v>
      </c>
      <c r="C6" s="1">
        <v>946</v>
      </c>
      <c r="D6" s="37"/>
      <c r="E6" s="97" t="s">
        <v>12</v>
      </c>
      <c r="F6" s="101">
        <v>97</v>
      </c>
      <c r="G6" s="109"/>
      <c r="H6" s="37"/>
      <c r="I6" s="126" t="s">
        <v>226</v>
      </c>
      <c r="J6" s="125">
        <v>179.58</v>
      </c>
      <c r="K6" s="130">
        <v>45995</v>
      </c>
      <c r="M6" s="25" t="s">
        <v>10</v>
      </c>
      <c r="N6" s="26">
        <v>20</v>
      </c>
      <c r="P6" s="168" t="s">
        <v>33</v>
      </c>
      <c r="Q6" s="137">
        <v>90</v>
      </c>
      <c r="R6" s="5">
        <v>46021</v>
      </c>
      <c r="S6" s="231" t="s">
        <v>405</v>
      </c>
      <c r="T6" s="175"/>
      <c r="U6" s="37"/>
      <c r="V6" s="52"/>
    </row>
    <row r="7" spans="2:22" ht="15.75" customHeight="1" x14ac:dyDescent="0.2">
      <c r="B7" s="343" t="s">
        <v>15</v>
      </c>
      <c r="C7" s="41">
        <v>445</v>
      </c>
      <c r="D7" s="37"/>
      <c r="E7" s="97" t="s">
        <v>16</v>
      </c>
      <c r="F7" s="101">
        <v>200</v>
      </c>
      <c r="G7" s="109"/>
      <c r="H7" s="37"/>
      <c r="I7" s="126" t="s">
        <v>233</v>
      </c>
      <c r="J7" s="125">
        <v>96</v>
      </c>
      <c r="K7" s="129" t="s">
        <v>234</v>
      </c>
      <c r="M7" s="25" t="s">
        <v>13</v>
      </c>
      <c r="N7" s="26">
        <v>19.899999999999999</v>
      </c>
      <c r="P7" s="168" t="s">
        <v>365</v>
      </c>
      <c r="Q7" s="176">
        <v>100</v>
      </c>
      <c r="R7" s="5">
        <v>46021</v>
      </c>
      <c r="S7" s="231" t="s">
        <v>405</v>
      </c>
      <c r="T7" s="175"/>
      <c r="U7" s="37"/>
      <c r="V7" s="52"/>
    </row>
    <row r="8" spans="2:22" ht="15.75" customHeight="1" x14ac:dyDescent="0.2">
      <c r="B8" s="344"/>
      <c r="C8" s="218">
        <v>312</v>
      </c>
      <c r="D8" s="37"/>
      <c r="E8" s="97" t="s">
        <v>19</v>
      </c>
      <c r="F8" s="101">
        <v>60</v>
      </c>
      <c r="H8" s="37"/>
      <c r="I8" s="126" t="s">
        <v>290</v>
      </c>
      <c r="J8" s="125">
        <v>0</v>
      </c>
      <c r="K8" s="129" t="s">
        <v>234</v>
      </c>
      <c r="M8" s="25" t="s">
        <v>17</v>
      </c>
      <c r="N8" s="26">
        <v>7</v>
      </c>
      <c r="P8" s="168" t="s">
        <v>365</v>
      </c>
      <c r="Q8" s="176">
        <v>32</v>
      </c>
      <c r="R8" s="5">
        <v>46022</v>
      </c>
      <c r="S8" s="231" t="s">
        <v>100</v>
      </c>
      <c r="T8" s="175"/>
      <c r="U8" s="37"/>
      <c r="V8" s="52"/>
    </row>
    <row r="9" spans="2:22" ht="15.75" customHeight="1" x14ac:dyDescent="0.2">
      <c r="B9" s="215"/>
      <c r="C9" s="216"/>
      <c r="D9" s="37"/>
      <c r="E9" s="97" t="s">
        <v>21</v>
      </c>
      <c r="F9" s="101">
        <v>200</v>
      </c>
      <c r="H9" s="37"/>
      <c r="I9" s="126" t="s">
        <v>39</v>
      </c>
      <c r="J9" s="125">
        <v>0</v>
      </c>
      <c r="K9" s="129" t="s">
        <v>39</v>
      </c>
      <c r="M9" s="31" t="s">
        <v>20</v>
      </c>
      <c r="N9" s="32">
        <f>SUM(N3:N8)</f>
        <v>83.6</v>
      </c>
      <c r="P9" s="168" t="s">
        <v>365</v>
      </c>
      <c r="Q9" s="137">
        <v>60.3</v>
      </c>
      <c r="R9" s="5">
        <v>46022</v>
      </c>
      <c r="S9" s="169" t="s">
        <v>404</v>
      </c>
      <c r="T9" s="175"/>
      <c r="U9" s="37"/>
      <c r="V9" s="52"/>
    </row>
    <row r="10" spans="2:22" ht="15.75" customHeight="1" x14ac:dyDescent="0.2">
      <c r="B10" s="215" t="s">
        <v>402</v>
      </c>
      <c r="C10" s="172">
        <f>562-K38</f>
        <v>0.70000000000004547</v>
      </c>
      <c r="D10" s="37"/>
      <c r="E10" s="97" t="s">
        <v>22</v>
      </c>
      <c r="F10" s="101">
        <v>60</v>
      </c>
      <c r="H10" s="37"/>
      <c r="I10" s="132" t="s">
        <v>20</v>
      </c>
      <c r="J10" s="133">
        <f>SUM(J3:J9)</f>
        <v>526.48</v>
      </c>
      <c r="K10" s="135" t="s">
        <v>39</v>
      </c>
      <c r="N10" s="37"/>
      <c r="O10" s="37"/>
      <c r="P10" s="168" t="s">
        <v>365</v>
      </c>
      <c r="Q10" s="137">
        <v>173</v>
      </c>
      <c r="R10" s="5">
        <v>46022</v>
      </c>
      <c r="S10" s="231" t="s">
        <v>408</v>
      </c>
      <c r="T10" s="175"/>
      <c r="U10" s="37"/>
      <c r="V10" s="52"/>
    </row>
    <row r="11" spans="2:22" ht="16.5" x14ac:dyDescent="0.2">
      <c r="B11" s="215" t="s">
        <v>55</v>
      </c>
      <c r="C11" s="216"/>
      <c r="D11" s="37"/>
      <c r="E11" s="97" t="s">
        <v>23</v>
      </c>
      <c r="F11" s="101">
        <v>800</v>
      </c>
      <c r="H11" s="37"/>
      <c r="M11" s="341" t="s">
        <v>40</v>
      </c>
      <c r="N11" s="342"/>
      <c r="P11" s="168" t="s">
        <v>50</v>
      </c>
      <c r="Q11" s="137">
        <v>17.38</v>
      </c>
      <c r="R11" s="5">
        <v>46024</v>
      </c>
      <c r="S11" s="231" t="s">
        <v>76</v>
      </c>
      <c r="T11" s="175"/>
      <c r="U11" s="37"/>
      <c r="V11" s="52"/>
    </row>
    <row r="12" spans="2:22" ht="16.5" x14ac:dyDescent="0.2">
      <c r="B12" s="346" t="s">
        <v>20</v>
      </c>
      <c r="C12" s="347">
        <f>SUM(C3:C9)</f>
        <v>6075.86</v>
      </c>
      <c r="D12" s="37"/>
      <c r="E12" s="97" t="s">
        <v>24</v>
      </c>
      <c r="F12" s="101">
        <f>N9</f>
        <v>83.6</v>
      </c>
      <c r="H12" s="37"/>
      <c r="I12" s="69"/>
      <c r="M12" s="27" t="s">
        <v>41</v>
      </c>
      <c r="N12" s="38">
        <v>15000</v>
      </c>
      <c r="P12" s="168" t="s">
        <v>365</v>
      </c>
      <c r="Q12" s="137">
        <v>88</v>
      </c>
      <c r="R12" s="5">
        <v>46024</v>
      </c>
      <c r="S12" s="221" t="s">
        <v>409</v>
      </c>
      <c r="T12" s="175"/>
      <c r="U12" s="37"/>
      <c r="V12" s="52"/>
    </row>
    <row r="13" spans="2:22" ht="16.5" x14ac:dyDescent="0.2">
      <c r="B13" s="344"/>
      <c r="C13" s="348"/>
      <c r="D13" s="37"/>
      <c r="E13" s="99" t="s">
        <v>20</v>
      </c>
      <c r="F13" s="102">
        <f>SUM(F3:F12)</f>
        <v>3151.6</v>
      </c>
      <c r="H13" s="37"/>
      <c r="J13" s="96"/>
      <c r="M13" s="28" t="s">
        <v>42</v>
      </c>
      <c r="N13" s="39">
        <v>8063</v>
      </c>
      <c r="P13" s="168" t="s">
        <v>59</v>
      </c>
      <c r="Q13" s="137">
        <v>88.73</v>
      </c>
      <c r="R13" s="5">
        <v>46024</v>
      </c>
      <c r="S13" s="221" t="s">
        <v>409</v>
      </c>
      <c r="T13" s="175"/>
      <c r="U13" s="37"/>
      <c r="V13" s="52"/>
    </row>
    <row r="14" spans="2:22" ht="16.5" x14ac:dyDescent="0.2">
      <c r="B14" s="37"/>
      <c r="C14" s="37"/>
      <c r="D14" s="37"/>
      <c r="E14" s="37"/>
      <c r="F14" s="37"/>
      <c r="H14" s="37"/>
      <c r="I14" s="96"/>
      <c r="J14" s="69">
        <f>F13+J10</f>
        <v>3678.08</v>
      </c>
      <c r="M14" s="29" t="s">
        <v>64</v>
      </c>
      <c r="N14" s="40">
        <f>N12-N13</f>
        <v>6937</v>
      </c>
      <c r="P14" s="168" t="s">
        <v>50</v>
      </c>
      <c r="Q14" s="137">
        <f>221-40.29</f>
        <v>180.71</v>
      </c>
      <c r="R14" s="5">
        <v>46024</v>
      </c>
      <c r="S14" s="231" t="s">
        <v>138</v>
      </c>
      <c r="T14" s="175"/>
      <c r="U14" s="37"/>
      <c r="V14" s="52"/>
    </row>
    <row r="15" spans="2:22" ht="12.75" x14ac:dyDescent="0.2">
      <c r="B15" s="43"/>
      <c r="C15" s="43"/>
      <c r="D15" s="43"/>
      <c r="E15" s="44"/>
      <c r="F15" s="70"/>
      <c r="G15" s="173"/>
      <c r="H15" s="37"/>
      <c r="N15" s="37"/>
      <c r="O15" s="37"/>
      <c r="P15" s="222" t="s">
        <v>33</v>
      </c>
      <c r="Q15" s="223">
        <v>5</v>
      </c>
      <c r="R15" s="224">
        <v>46025</v>
      </c>
      <c r="S15" s="232" t="s">
        <v>415</v>
      </c>
      <c r="T15" s="236" t="s">
        <v>418</v>
      </c>
      <c r="U15" s="37"/>
      <c r="V15" s="52"/>
    </row>
    <row r="16" spans="2:22" ht="12.75" x14ac:dyDescent="0.2">
      <c r="B16" s="335" t="s">
        <v>239</v>
      </c>
      <c r="C16" s="337">
        <f>C12-F13-J10</f>
        <v>2397.7799999999997</v>
      </c>
      <c r="D16" s="43"/>
      <c r="E16" s="71"/>
      <c r="F16" s="72"/>
      <c r="G16" s="72">
        <f>C12-J14</f>
        <v>2397.7799999999997</v>
      </c>
      <c r="H16" s="44"/>
      <c r="I16" s="69"/>
      <c r="N16" s="37"/>
      <c r="O16" s="37"/>
      <c r="P16" s="254" t="s">
        <v>33</v>
      </c>
      <c r="Q16" s="225">
        <v>5</v>
      </c>
      <c r="R16" s="226">
        <v>46025</v>
      </c>
      <c r="S16" s="233" t="s">
        <v>415</v>
      </c>
      <c r="T16" s="175"/>
      <c r="U16" s="37"/>
      <c r="V16" s="52"/>
    </row>
    <row r="17" spans="2:22" ht="12.75" x14ac:dyDescent="0.2">
      <c r="B17" s="336"/>
      <c r="C17" s="336"/>
      <c r="D17" s="43"/>
      <c r="E17" s="70"/>
      <c r="F17" s="69"/>
      <c r="G17" s="44"/>
      <c r="H17" s="44"/>
      <c r="K17" s="96"/>
      <c r="N17" s="37"/>
      <c r="P17" s="252" t="s">
        <v>58</v>
      </c>
      <c r="Q17" s="223">
        <v>6.89</v>
      </c>
      <c r="R17" s="224">
        <v>46025</v>
      </c>
      <c r="S17" s="232" t="s">
        <v>412</v>
      </c>
      <c r="T17" s="236" t="s">
        <v>418</v>
      </c>
      <c r="U17" s="37"/>
      <c r="V17" s="52"/>
    </row>
    <row r="18" spans="2:22" ht="12.75" customHeight="1" x14ac:dyDescent="0.2">
      <c r="B18" s="43"/>
      <c r="C18" s="43"/>
      <c r="D18" s="43"/>
      <c r="F18" s="69"/>
      <c r="I18" s="51"/>
      <c r="J18" s="51"/>
      <c r="K18" s="51"/>
      <c r="L18" s="37"/>
      <c r="M18" s="37"/>
      <c r="N18" s="37"/>
      <c r="P18" s="251" t="s">
        <v>35</v>
      </c>
      <c r="Q18" s="137">
        <v>15.9</v>
      </c>
      <c r="R18" s="5">
        <v>46025</v>
      </c>
      <c r="S18" s="169" t="s">
        <v>52</v>
      </c>
      <c r="T18" s="175"/>
      <c r="U18" s="37"/>
      <c r="V18" s="52"/>
    </row>
    <row r="19" spans="2:22" ht="12.75" x14ac:dyDescent="0.2">
      <c r="J19" s="70"/>
      <c r="K19" s="37"/>
      <c r="L19" s="37"/>
      <c r="M19" s="37"/>
      <c r="N19" s="37"/>
      <c r="P19" s="222" t="s">
        <v>34</v>
      </c>
      <c r="Q19" s="223">
        <v>49.99</v>
      </c>
      <c r="R19" s="224">
        <v>46025</v>
      </c>
      <c r="S19" s="232" t="s">
        <v>411</v>
      </c>
      <c r="T19" s="236" t="s">
        <v>418</v>
      </c>
      <c r="U19" s="37"/>
      <c r="V19" s="52"/>
    </row>
    <row r="20" spans="2:22" ht="12.75" x14ac:dyDescent="0.2">
      <c r="B20" s="37"/>
      <c r="C20" s="37"/>
      <c r="D20" s="37"/>
      <c r="J20" s="37"/>
      <c r="K20" s="37"/>
      <c r="L20" s="37"/>
      <c r="M20" s="37"/>
      <c r="N20" s="37"/>
      <c r="P20" s="255" t="s">
        <v>34</v>
      </c>
      <c r="Q20" s="223">
        <v>49.99</v>
      </c>
      <c r="R20" s="224">
        <v>46025</v>
      </c>
      <c r="S20" s="232" t="s">
        <v>411</v>
      </c>
      <c r="T20" s="236" t="s">
        <v>418</v>
      </c>
    </row>
    <row r="21" spans="2:22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222" t="s">
        <v>59</v>
      </c>
      <c r="Q21" s="223">
        <v>89.9</v>
      </c>
      <c r="R21" s="224">
        <v>46025</v>
      </c>
      <c r="S21" s="232" t="s">
        <v>410</v>
      </c>
      <c r="T21" s="236" t="s">
        <v>418</v>
      </c>
      <c r="V21" s="69"/>
    </row>
    <row r="22" spans="2:22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79">
        <f>SUMIFS(Q3:Q150,P3:P150,"Casa")</f>
        <v>0</v>
      </c>
      <c r="K22" s="345" t="str">
        <f>IF(J28&gt;=200,"ATENÇÃO AO GASTO EXTRA R$ " &amp; SUM(J28), "GASTO COM EXTRA OK !")</f>
        <v>ATENÇÃO AO GASTO EXTRA R$ 712,15</v>
      </c>
      <c r="L22" s="345"/>
      <c r="M22" s="345"/>
      <c r="N22" s="345"/>
      <c r="P22" s="252" t="s">
        <v>58</v>
      </c>
      <c r="Q22" s="223">
        <v>89.9</v>
      </c>
      <c r="R22" s="224">
        <v>46025</v>
      </c>
      <c r="S22" s="232" t="s">
        <v>410</v>
      </c>
      <c r="T22" s="236" t="s">
        <v>418</v>
      </c>
    </row>
    <row r="23" spans="2:22" ht="15.75" customHeight="1" x14ac:dyDescent="0.2">
      <c r="B23" s="3" t="s">
        <v>31</v>
      </c>
      <c r="C23" s="46">
        <v>0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79">
        <f>SUMIFS(Q3:Q150,P3:P150,"Lazer")</f>
        <v>835.15</v>
      </c>
      <c r="K23" s="345"/>
      <c r="L23" s="345"/>
      <c r="M23" s="345"/>
      <c r="N23" s="345"/>
      <c r="P23" s="222" t="s">
        <v>34</v>
      </c>
      <c r="Q23" s="223">
        <v>239.96</v>
      </c>
      <c r="R23" s="224">
        <v>46025</v>
      </c>
      <c r="S23" s="232" t="s">
        <v>411</v>
      </c>
      <c r="T23" s="236" t="s">
        <v>418</v>
      </c>
    </row>
    <row r="24" spans="2:22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v>0</v>
      </c>
      <c r="G24" s="134">
        <v>0</v>
      </c>
      <c r="H24" s="2"/>
      <c r="I24" s="6" t="s">
        <v>34</v>
      </c>
      <c r="J24" s="79">
        <f>SUMIFS(Q3:Q150,P3:P150,"Roupas")</f>
        <v>339.94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222" t="s">
        <v>58</v>
      </c>
      <c r="Q24" s="223">
        <v>22</v>
      </c>
      <c r="R24" s="224">
        <v>46026</v>
      </c>
      <c r="S24" s="232" t="s">
        <v>413</v>
      </c>
      <c r="T24" s="236" t="s">
        <v>418</v>
      </c>
    </row>
    <row r="25" spans="2:22" ht="15.75" customHeight="1" x14ac:dyDescent="0.2">
      <c r="B25" s="3" t="s">
        <v>33</v>
      </c>
      <c r="C25" s="46">
        <v>700</v>
      </c>
      <c r="D25" s="43"/>
      <c r="E25" s="54" t="s">
        <v>32</v>
      </c>
      <c r="F25" s="55">
        <f>C24-J22</f>
        <v>200</v>
      </c>
      <c r="G25" s="134">
        <f>SUM(Tabela6151661218253239[[#This Row],[Valores]]+Tabela61516612182532[[#This Row],[Acumulado]])</f>
        <v>626.27</v>
      </c>
      <c r="H25" s="2"/>
      <c r="I25" s="6" t="s">
        <v>19</v>
      </c>
      <c r="J25" s="79">
        <f>SUMIFS(Q3:Q150,P3:P150,"Nesco")</f>
        <v>21.9</v>
      </c>
      <c r="K25" s="334"/>
      <c r="L25" s="334"/>
      <c r="M25" s="334"/>
      <c r="N25" s="334"/>
      <c r="P25" s="250" t="s">
        <v>33</v>
      </c>
      <c r="Q25" s="223">
        <v>23.31</v>
      </c>
      <c r="R25" s="224">
        <v>46026</v>
      </c>
      <c r="S25" s="232" t="s">
        <v>414</v>
      </c>
      <c r="T25" s="236" t="s">
        <v>418</v>
      </c>
    </row>
    <row r="26" spans="2:22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</f>
        <v>-135.14999999999998</v>
      </c>
      <c r="G26" s="134">
        <f>SUM(Tabela6151661218253239[[#This Row],[Valores]]+Tabela61516612182532[[#This Row],[Acumulado]])</f>
        <v>-133.13000000000005</v>
      </c>
      <c r="H26" s="2"/>
      <c r="I26" s="6" t="s">
        <v>21</v>
      </c>
      <c r="J26" s="79">
        <f>SUMIFS(Q3:Q150,P3:P150,"Gasolina / Óleo")</f>
        <v>235.45</v>
      </c>
      <c r="P26" s="243"/>
      <c r="Q26" s="240">
        <v>50</v>
      </c>
      <c r="R26" s="241">
        <v>46026</v>
      </c>
      <c r="S26" s="242" t="s">
        <v>421</v>
      </c>
      <c r="T26" s="235" t="s">
        <v>418</v>
      </c>
    </row>
    <row r="27" spans="2:22" ht="15.75" customHeight="1" x14ac:dyDescent="0.2">
      <c r="B27" s="13" t="s">
        <v>35</v>
      </c>
      <c r="C27" s="46">
        <f>C16-SUM(C23:C26)-SUM(C31:C32)</f>
        <v>697.77999999999975</v>
      </c>
      <c r="D27" s="43"/>
      <c r="E27" s="54" t="s">
        <v>34</v>
      </c>
      <c r="F27" s="55">
        <f>C26-J24</f>
        <v>-139.94</v>
      </c>
      <c r="G27" s="134">
        <f>SUM(Tabela6151661218253239[[#This Row],[Valores]]+Tabela61516612182532[[#This Row],[Acumulado]])</f>
        <v>210.11</v>
      </c>
      <c r="H27" s="2"/>
      <c r="I27" s="6" t="s">
        <v>50</v>
      </c>
      <c r="J27" s="79">
        <f>SUMIFS(Q3:Q150,P3:P150,"Compras do Mês")</f>
        <v>803.15000000000009</v>
      </c>
      <c r="P27" s="239"/>
      <c r="Q27" s="240">
        <v>103</v>
      </c>
      <c r="R27" s="241">
        <v>46026</v>
      </c>
      <c r="S27" s="242" t="s">
        <v>420</v>
      </c>
      <c r="T27" s="235" t="s">
        <v>418</v>
      </c>
    </row>
    <row r="28" spans="2:22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-111.02999999999992</v>
      </c>
      <c r="G28" s="134">
        <f>SUM(Tabela6151661218253239[[#This Row],[Valores]]+Tabela61516612182532[[#This Row],[Acumulado]])</f>
        <v>-111.02000000000001</v>
      </c>
      <c r="H28" s="2"/>
      <c r="I28" s="6" t="s">
        <v>35</v>
      </c>
      <c r="J28" s="79">
        <f>SUMIFS(Q3:Q150,P3:P150,"Extras")</f>
        <v>712.14999999999986</v>
      </c>
      <c r="P28" s="239" t="s">
        <v>365</v>
      </c>
      <c r="Q28" s="240">
        <v>108</v>
      </c>
      <c r="R28" s="241">
        <v>46026</v>
      </c>
      <c r="S28" s="242" t="s">
        <v>422</v>
      </c>
      <c r="T28" s="235" t="s">
        <v>418</v>
      </c>
    </row>
    <row r="29" spans="2:22" ht="15.75" customHeight="1" x14ac:dyDescent="0.2">
      <c r="B29" s="12" t="s">
        <v>21</v>
      </c>
      <c r="C29" s="48">
        <v>200</v>
      </c>
      <c r="D29" s="43"/>
      <c r="E29" s="56" t="s">
        <v>58</v>
      </c>
      <c r="F29" s="57">
        <f>C32-J30</f>
        <v>-49.03000000000003</v>
      </c>
      <c r="G29" s="134">
        <f>SUM(Tabela6151661218253239[[#This Row],[Valores]]+Tabela61516612182532[[#This Row],[Acumulado]])</f>
        <v>-31.59000000000006</v>
      </c>
      <c r="H29" s="2"/>
      <c r="I29" s="6" t="s">
        <v>59</v>
      </c>
      <c r="J29" s="81">
        <f>SUMIFS(Q3:Q150,P3:P150,"Bobeirinhas V")</f>
        <v>411.02999999999992</v>
      </c>
      <c r="P29" s="239"/>
      <c r="Q29" s="240">
        <v>138</v>
      </c>
      <c r="R29" s="241">
        <v>46026</v>
      </c>
      <c r="S29" s="242" t="s">
        <v>423</v>
      </c>
      <c r="T29" s="235" t="s">
        <v>418</v>
      </c>
    </row>
    <row r="30" spans="2:22" ht="15.75" customHeight="1" x14ac:dyDescent="0.2">
      <c r="B30" s="13" t="s">
        <v>50</v>
      </c>
      <c r="C30" s="47">
        <f>800</f>
        <v>800</v>
      </c>
      <c r="D30" s="43"/>
      <c r="E30" s="58" t="s">
        <v>35</v>
      </c>
      <c r="F30" s="59">
        <f>C27-J28</f>
        <v>-14.370000000000118</v>
      </c>
      <c r="G30" s="134">
        <f>SUM(Tabela6151661218253239[[#This Row],[Valores]]+Tabela61516612182532[[#This Row],[Acumulado]])</f>
        <v>3.9549999999975398</v>
      </c>
      <c r="H30" s="2"/>
      <c r="I30" s="9" t="s">
        <v>58</v>
      </c>
      <c r="J30" s="80">
        <f>SUMIFS(Q3:Q150,P3:P150,"Bobeirinhas J")</f>
        <v>349.03000000000003</v>
      </c>
      <c r="L30" s="69"/>
      <c r="P30" s="256" t="s">
        <v>33</v>
      </c>
      <c r="Q30" s="240">
        <f>289-108</f>
        <v>181</v>
      </c>
      <c r="R30" s="241">
        <v>46026</v>
      </c>
      <c r="S30" s="242" t="s">
        <v>422</v>
      </c>
      <c r="T30" s="235" t="s">
        <v>418</v>
      </c>
    </row>
    <row r="31" spans="2:22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38.1</v>
      </c>
      <c r="G31" s="134">
        <f>SUM(Tabela6151661218253239[[#This Row],[Valores]]+Tabela61516612182532[[#This Row],[Acumulado]])</f>
        <v>49.650000000000006</v>
      </c>
      <c r="H31" s="2"/>
      <c r="J31" s="96"/>
      <c r="N31" s="96"/>
      <c r="P31" s="6" t="s">
        <v>33</v>
      </c>
      <c r="Q31" s="137">
        <v>16.5</v>
      </c>
      <c r="R31" s="5">
        <v>46027</v>
      </c>
      <c r="S31" s="169" t="s">
        <v>99</v>
      </c>
      <c r="T31" s="175"/>
    </row>
    <row r="32" spans="2:22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-35.449999999999989</v>
      </c>
      <c r="G32" s="134">
        <f>SUM(Tabela6151661218253239[[#This Row],[Valores]]+Tabela61516612182532[[#This Row],[Acumulado]])</f>
        <v>-35.44000000000004</v>
      </c>
      <c r="H32" s="2"/>
      <c r="J32" s="37"/>
      <c r="M32" s="69">
        <f>SUM(G25:G33)</f>
        <v>578.56499999999755</v>
      </c>
      <c r="P32" s="243" t="s">
        <v>58</v>
      </c>
      <c r="Q32" s="240">
        <v>20.8</v>
      </c>
      <c r="R32" s="241">
        <v>46027</v>
      </c>
      <c r="S32" s="242" t="s">
        <v>427</v>
      </c>
      <c r="T32" s="247" t="s">
        <v>418</v>
      </c>
    </row>
    <row r="33" spans="2:22" ht="15.75" customHeight="1" x14ac:dyDescent="0.2">
      <c r="B33" s="73"/>
      <c r="C33" s="74"/>
      <c r="D33" s="43"/>
      <c r="E33" s="58" t="s">
        <v>50</v>
      </c>
      <c r="F33" s="61">
        <f>C30-J27</f>
        <v>-3.1500000000000909</v>
      </c>
      <c r="G33" s="134">
        <f>SUM(Tabela6151661218253239[[#This Row],[Valores]]+Tabela61516612182532[[#This Row],[Acumulado]])</f>
        <v>-0.23999999999989541</v>
      </c>
      <c r="H33" s="2"/>
      <c r="J33" s="96"/>
      <c r="L33" s="69"/>
      <c r="M33" s="220">
        <f>M32-112</f>
        <v>466.56499999999755</v>
      </c>
      <c r="P33" s="6" t="s">
        <v>21</v>
      </c>
      <c r="Q33" s="137">
        <v>60.96</v>
      </c>
      <c r="R33" s="5">
        <v>46027</v>
      </c>
      <c r="S33" s="169" t="s">
        <v>67</v>
      </c>
      <c r="T33" s="175"/>
    </row>
    <row r="34" spans="2:22" ht="15.75" customHeight="1" x14ac:dyDescent="0.35">
      <c r="B34" s="44"/>
      <c r="C34" s="44"/>
      <c r="D34" s="43"/>
      <c r="E34" s="43"/>
      <c r="F34" s="43"/>
      <c r="G34" s="141"/>
      <c r="H34" s="2"/>
      <c r="I34" s="155"/>
      <c r="J34" s="69"/>
      <c r="L34" s="69"/>
      <c r="P34" s="243" t="s">
        <v>35</v>
      </c>
      <c r="Q34" s="240">
        <v>93.97</v>
      </c>
      <c r="R34" s="241">
        <v>46027</v>
      </c>
      <c r="S34" s="242" t="s">
        <v>426</v>
      </c>
      <c r="T34" s="247" t="s">
        <v>418</v>
      </c>
    </row>
    <row r="35" spans="2:22" ht="15.75" customHeight="1" x14ac:dyDescent="0.2">
      <c r="B35" s="37"/>
      <c r="C35" s="37"/>
      <c r="D35" s="37"/>
      <c r="E35" s="76" t="s">
        <v>79</v>
      </c>
      <c r="F35" s="77">
        <f>SUM(F24:F30)</f>
        <v>-249.52000000000004</v>
      </c>
      <c r="G35" s="70"/>
      <c r="J35" s="69"/>
      <c r="K35" s="69"/>
      <c r="P35" s="168" t="s">
        <v>35</v>
      </c>
      <c r="Q35" s="137">
        <v>7.92</v>
      </c>
      <c r="R35" s="5">
        <v>46028</v>
      </c>
      <c r="S35" s="169" t="s">
        <v>52</v>
      </c>
      <c r="T35" s="175"/>
    </row>
    <row r="36" spans="2:22" ht="15.75" customHeight="1" x14ac:dyDescent="0.2">
      <c r="C36" s="69"/>
      <c r="F36" s="69"/>
      <c r="I36" s="69">
        <f>SUM(G26,G28,G29,G32,G33)</f>
        <v>-311.42000000000007</v>
      </c>
      <c r="P36" s="6" t="s">
        <v>35</v>
      </c>
      <c r="Q36" s="137">
        <v>15.99</v>
      </c>
      <c r="R36" s="5">
        <v>46028</v>
      </c>
      <c r="S36" s="169" t="s">
        <v>89</v>
      </c>
      <c r="T36" s="175"/>
      <c r="U36" s="230"/>
      <c r="V36" s="230"/>
    </row>
    <row r="37" spans="2:22" ht="12.75" customHeight="1" x14ac:dyDescent="0.2">
      <c r="P37" s="168" t="s">
        <v>35</v>
      </c>
      <c r="Q37" s="137">
        <v>19.100000000000001</v>
      </c>
      <c r="R37" s="5">
        <v>46028</v>
      </c>
      <c r="S37" s="169" t="s">
        <v>268</v>
      </c>
      <c r="T37" s="175"/>
      <c r="U37" s="230"/>
      <c r="V37" s="230"/>
    </row>
    <row r="38" spans="2:22" ht="13.5" customHeight="1" x14ac:dyDescent="0.2">
      <c r="B38" s="228" t="s">
        <v>416</v>
      </c>
      <c r="C38" s="227"/>
      <c r="G38" s="69"/>
      <c r="I38" s="69">
        <f>I36+I43</f>
        <v>-448.87499999999761</v>
      </c>
      <c r="K38" s="350">
        <f>SUMIFS(Q3:Q154,P3:P154,"DécimoT")</f>
        <v>561.29999999999995</v>
      </c>
      <c r="P38" s="6" t="s">
        <v>58</v>
      </c>
      <c r="Q38" s="137">
        <v>32</v>
      </c>
      <c r="R38" s="5">
        <v>46028</v>
      </c>
      <c r="S38" s="169" t="s">
        <v>131</v>
      </c>
      <c r="T38" s="175"/>
      <c r="U38" s="230"/>
      <c r="V38" s="230"/>
    </row>
    <row r="39" spans="2:22" ht="15.75" customHeight="1" x14ac:dyDescent="0.2">
      <c r="B39" s="229"/>
      <c r="C39" s="227"/>
      <c r="K39" s="350"/>
      <c r="P39" s="168" t="s">
        <v>35</v>
      </c>
      <c r="Q39" s="137">
        <v>6.97</v>
      </c>
      <c r="R39" s="5">
        <v>46029</v>
      </c>
      <c r="S39" s="169" t="s">
        <v>52</v>
      </c>
      <c r="T39" s="175"/>
      <c r="U39" s="230"/>
      <c r="V39" s="230"/>
    </row>
    <row r="40" spans="2:22" ht="15.75" customHeight="1" x14ac:dyDescent="0.2">
      <c r="B40" s="237" t="s">
        <v>419</v>
      </c>
      <c r="C40" s="238">
        <f>SUMIFS(Q3:Q150,Tabela17111419263340[Método],"LATAM")</f>
        <v>2201.0000000000005</v>
      </c>
      <c r="F40" s="69">
        <f>SUM(C24,C25,C26,C27,C31,C32)</f>
        <v>2397.7799999999997</v>
      </c>
      <c r="I40" s="69">
        <f>SUM(G25:G33)</f>
        <v>578.56499999999755</v>
      </c>
      <c r="K40" s="350"/>
      <c r="P40" s="6" t="s">
        <v>35</v>
      </c>
      <c r="Q40" s="137">
        <v>7.92</v>
      </c>
      <c r="R40" s="5">
        <v>46029</v>
      </c>
      <c r="S40" s="169" t="s">
        <v>209</v>
      </c>
      <c r="T40" s="175"/>
      <c r="U40" s="230"/>
      <c r="V40" s="230"/>
    </row>
    <row r="41" spans="2:22" ht="15.75" customHeight="1" x14ac:dyDescent="0.2">
      <c r="B41" s="244" t="s">
        <v>424</v>
      </c>
      <c r="C41" s="245">
        <v>800</v>
      </c>
      <c r="I41" s="69"/>
      <c r="N41" s="69"/>
      <c r="P41" s="6" t="s">
        <v>50</v>
      </c>
      <c r="Q41" s="137">
        <v>11.9</v>
      </c>
      <c r="R41" s="5">
        <v>46030</v>
      </c>
      <c r="S41" s="169" t="s">
        <v>221</v>
      </c>
      <c r="T41" s="175"/>
      <c r="U41" s="230"/>
      <c r="V41" s="230"/>
    </row>
    <row r="42" spans="2:22" ht="15.75" customHeight="1" x14ac:dyDescent="0.2">
      <c r="B42" s="237" t="s">
        <v>425</v>
      </c>
      <c r="C42" s="246">
        <f>C40-C41</f>
        <v>1401.0000000000005</v>
      </c>
      <c r="I42" s="69"/>
      <c r="J42" s="69">
        <f>449+I38</f>
        <v>0.12500000000238742</v>
      </c>
      <c r="P42" s="168" t="s">
        <v>59</v>
      </c>
      <c r="Q42" s="137">
        <v>67.98</v>
      </c>
      <c r="R42" s="5">
        <v>46030</v>
      </c>
      <c r="S42" s="169" t="s">
        <v>428</v>
      </c>
      <c r="T42" s="175"/>
    </row>
    <row r="43" spans="2:22" ht="15.75" customHeight="1" x14ac:dyDescent="0.2">
      <c r="I43" s="69">
        <f>441.11-I40</f>
        <v>-137.45499999999754</v>
      </c>
      <c r="P43" s="168" t="s">
        <v>59</v>
      </c>
      <c r="Q43" s="137">
        <v>16</v>
      </c>
      <c r="R43" s="5">
        <v>46032</v>
      </c>
      <c r="S43" s="169" t="s">
        <v>268</v>
      </c>
      <c r="T43" s="175"/>
    </row>
    <row r="44" spans="2:22" ht="15.75" customHeight="1" x14ac:dyDescent="0.2">
      <c r="K44" s="69"/>
      <c r="P44" s="6" t="s">
        <v>33</v>
      </c>
      <c r="Q44" s="137">
        <f>4.19+1.49+8.99+24.36+13.91+7.99+7.9+7.5+7.99+7.99+6.99+5.89*3</f>
        <v>116.96999999999998</v>
      </c>
      <c r="R44" s="5">
        <v>46032</v>
      </c>
      <c r="S44" s="169" t="s">
        <v>429</v>
      </c>
      <c r="T44" s="175"/>
    </row>
    <row r="45" spans="2:22" ht="15.75" customHeight="1" x14ac:dyDescent="0.2">
      <c r="P45" s="6" t="s">
        <v>50</v>
      </c>
      <c r="Q45" s="137">
        <f>325.23-116</f>
        <v>209.23000000000002</v>
      </c>
      <c r="R45" s="5">
        <v>46032</v>
      </c>
      <c r="S45" s="169" t="s">
        <v>138</v>
      </c>
      <c r="T45" s="175"/>
    </row>
    <row r="46" spans="2:22" ht="15.75" customHeight="1" x14ac:dyDescent="0.2">
      <c r="P46" s="6" t="s">
        <v>33</v>
      </c>
      <c r="Q46" s="137">
        <v>17.600000000000001</v>
      </c>
      <c r="R46" s="5">
        <v>46033</v>
      </c>
      <c r="S46" s="169" t="s">
        <v>434</v>
      </c>
      <c r="T46" s="175"/>
    </row>
    <row r="47" spans="2:22" ht="15.75" customHeight="1" x14ac:dyDescent="0.2">
      <c r="P47" s="6" t="s">
        <v>33</v>
      </c>
      <c r="Q47" s="137">
        <v>22.9</v>
      </c>
      <c r="R47" s="5">
        <v>46033</v>
      </c>
      <c r="S47" s="169" t="s">
        <v>102</v>
      </c>
      <c r="T47" s="175"/>
    </row>
    <row r="48" spans="2:22" ht="15.75" customHeight="1" x14ac:dyDescent="0.2">
      <c r="P48" s="6" t="s">
        <v>33</v>
      </c>
      <c r="Q48" s="137">
        <v>31</v>
      </c>
      <c r="R48" s="5">
        <v>46033</v>
      </c>
      <c r="S48" s="169" t="s">
        <v>435</v>
      </c>
      <c r="T48" s="175"/>
      <c r="V48" s="51"/>
    </row>
    <row r="49" spans="13:22" ht="15" customHeight="1" x14ac:dyDescent="0.2">
      <c r="N49" s="96"/>
      <c r="P49" s="243" t="s">
        <v>33</v>
      </c>
      <c r="Q49" s="240">
        <v>36</v>
      </c>
      <c r="R49" s="241">
        <v>46033</v>
      </c>
      <c r="S49" s="242" t="s">
        <v>48</v>
      </c>
      <c r="T49" s="247" t="s">
        <v>418</v>
      </c>
      <c r="U49" s="51"/>
      <c r="V49" s="51"/>
    </row>
    <row r="50" spans="13:22" ht="15.75" customHeight="1" x14ac:dyDescent="0.2">
      <c r="O50" s="96"/>
      <c r="P50" s="6" t="s">
        <v>50</v>
      </c>
      <c r="Q50" s="137">
        <v>51.56</v>
      </c>
      <c r="R50" s="5">
        <v>46033</v>
      </c>
      <c r="S50" s="169" t="s">
        <v>436</v>
      </c>
      <c r="T50" s="175"/>
    </row>
    <row r="51" spans="13:22" ht="15.75" customHeight="1" x14ac:dyDescent="0.2">
      <c r="P51" s="243" t="s">
        <v>21</v>
      </c>
      <c r="Q51" s="240">
        <v>77.2</v>
      </c>
      <c r="R51" s="241">
        <v>46033</v>
      </c>
      <c r="S51" s="242" t="s">
        <v>67</v>
      </c>
      <c r="T51" s="247" t="s">
        <v>418</v>
      </c>
    </row>
    <row r="52" spans="13:22" ht="15.75" customHeight="1" x14ac:dyDescent="0.2">
      <c r="P52" s="243" t="s">
        <v>50</v>
      </c>
      <c r="Q52" s="240">
        <v>12.98</v>
      </c>
      <c r="R52" s="241">
        <v>46034</v>
      </c>
      <c r="S52" s="242" t="s">
        <v>432</v>
      </c>
      <c r="T52" s="247" t="s">
        <v>418</v>
      </c>
    </row>
    <row r="53" spans="13:22" ht="15.75" customHeight="1" x14ac:dyDescent="0.2">
      <c r="P53" s="6" t="s">
        <v>35</v>
      </c>
      <c r="Q53" s="137">
        <v>13</v>
      </c>
      <c r="R53" s="5">
        <v>46034</v>
      </c>
      <c r="S53" s="169" t="s">
        <v>430</v>
      </c>
      <c r="T53" s="175"/>
    </row>
    <row r="54" spans="13:22" ht="15.75" customHeight="1" x14ac:dyDescent="0.2">
      <c r="P54" s="6" t="s">
        <v>35</v>
      </c>
      <c r="Q54" s="137">
        <v>15</v>
      </c>
      <c r="R54" s="5">
        <v>46034</v>
      </c>
      <c r="S54" s="169" t="s">
        <v>431</v>
      </c>
      <c r="T54" s="175"/>
    </row>
    <row r="55" spans="13:22" ht="15.75" customHeight="1" x14ac:dyDescent="0.2">
      <c r="P55" s="6" t="s">
        <v>35</v>
      </c>
      <c r="Q55" s="137">
        <v>16</v>
      </c>
      <c r="R55" s="5">
        <v>46034</v>
      </c>
      <c r="S55" s="169" t="s">
        <v>268</v>
      </c>
      <c r="T55" s="175"/>
    </row>
    <row r="56" spans="13:22" ht="15.75" customHeight="1" x14ac:dyDescent="0.2">
      <c r="P56" s="6" t="s">
        <v>35</v>
      </c>
      <c r="Q56" s="137">
        <v>28.8</v>
      </c>
      <c r="R56" s="5">
        <v>46034</v>
      </c>
      <c r="S56" s="169" t="s">
        <v>297</v>
      </c>
      <c r="T56" s="175"/>
    </row>
    <row r="57" spans="13:22" ht="15.75" customHeight="1" x14ac:dyDescent="0.2">
      <c r="P57" s="6" t="s">
        <v>35</v>
      </c>
      <c r="Q57" s="137">
        <v>60</v>
      </c>
      <c r="R57" s="5">
        <v>46034</v>
      </c>
      <c r="S57" s="169" t="s">
        <v>437</v>
      </c>
      <c r="T57" s="175"/>
    </row>
    <row r="58" spans="13:22" ht="15.75" customHeight="1" x14ac:dyDescent="0.2">
      <c r="P58" s="243" t="s">
        <v>33</v>
      </c>
      <c r="Q58" s="240">
        <v>129.5</v>
      </c>
      <c r="R58" s="241">
        <v>46034</v>
      </c>
      <c r="S58" s="242" t="s">
        <v>433</v>
      </c>
      <c r="T58" s="247" t="s">
        <v>418</v>
      </c>
    </row>
    <row r="59" spans="13:22" ht="15.75" customHeight="1" x14ac:dyDescent="0.2">
      <c r="P59" s="168" t="s">
        <v>59</v>
      </c>
      <c r="Q59" s="137">
        <v>19.579999999999998</v>
      </c>
      <c r="R59" s="5">
        <v>46035</v>
      </c>
      <c r="S59" s="169" t="s">
        <v>438</v>
      </c>
      <c r="T59" s="175"/>
    </row>
    <row r="60" spans="13:22" ht="15.75" customHeight="1" x14ac:dyDescent="0.2">
      <c r="P60" s="6" t="s">
        <v>58</v>
      </c>
      <c r="Q60" s="137">
        <v>26</v>
      </c>
      <c r="R60" s="5">
        <v>46035</v>
      </c>
      <c r="S60" s="169" t="s">
        <v>101</v>
      </c>
      <c r="T60" s="175"/>
    </row>
    <row r="61" spans="13:22" ht="15.75" customHeight="1" x14ac:dyDescent="0.2">
      <c r="P61" s="168" t="s">
        <v>59</v>
      </c>
      <c r="Q61" s="137">
        <v>8.98</v>
      </c>
      <c r="R61" s="5">
        <v>46036</v>
      </c>
      <c r="S61" s="169" t="s">
        <v>340</v>
      </c>
      <c r="T61" s="175"/>
    </row>
    <row r="62" spans="13:22" ht="15.75" customHeight="1" x14ac:dyDescent="0.2">
      <c r="P62" s="243" t="s">
        <v>33</v>
      </c>
      <c r="Q62" s="240">
        <v>17.98</v>
      </c>
      <c r="R62" s="241">
        <v>46036</v>
      </c>
      <c r="S62" s="242" t="s">
        <v>201</v>
      </c>
      <c r="T62" s="247" t="s">
        <v>418</v>
      </c>
    </row>
    <row r="63" spans="13:22" ht="15.75" customHeight="1" x14ac:dyDescent="0.2">
      <c r="M63" t="s">
        <v>39</v>
      </c>
      <c r="O63" t="s">
        <v>39</v>
      </c>
      <c r="P63" s="168" t="s">
        <v>59</v>
      </c>
      <c r="Q63" s="137">
        <v>24.4</v>
      </c>
      <c r="R63" s="5">
        <v>46036</v>
      </c>
      <c r="S63" s="169" t="s">
        <v>268</v>
      </c>
      <c r="T63" s="175"/>
    </row>
    <row r="64" spans="13:22" ht="15.75" customHeight="1" x14ac:dyDescent="0.2">
      <c r="P64" s="243" t="s">
        <v>33</v>
      </c>
      <c r="Q64" s="240">
        <v>55.89</v>
      </c>
      <c r="R64" s="241">
        <v>46037</v>
      </c>
      <c r="S64" s="242" t="s">
        <v>131</v>
      </c>
      <c r="T64" s="247" t="s">
        <v>418</v>
      </c>
    </row>
    <row r="65" spans="16:20" ht="15.75" customHeight="1" x14ac:dyDescent="0.2">
      <c r="P65" s="6" t="s">
        <v>35</v>
      </c>
      <c r="Q65" s="137">
        <v>80.709999999999994</v>
      </c>
      <c r="R65" s="5">
        <v>46037</v>
      </c>
      <c r="S65" s="169" t="s">
        <v>439</v>
      </c>
      <c r="T65" s="175"/>
    </row>
    <row r="66" spans="16:20" ht="15.75" customHeight="1" x14ac:dyDescent="0.2">
      <c r="P66" s="6" t="s">
        <v>35</v>
      </c>
      <c r="Q66" s="137">
        <v>19.8</v>
      </c>
      <c r="R66" s="5">
        <v>46038</v>
      </c>
      <c r="S66" s="169" t="s">
        <v>441</v>
      </c>
      <c r="T66" s="175"/>
    </row>
    <row r="67" spans="16:20" ht="15.75" customHeight="1" x14ac:dyDescent="0.2">
      <c r="P67" s="6" t="s">
        <v>59</v>
      </c>
      <c r="Q67" s="137">
        <v>22.5</v>
      </c>
      <c r="R67" s="5">
        <v>46038</v>
      </c>
      <c r="S67" s="169" t="s">
        <v>102</v>
      </c>
      <c r="T67" s="175"/>
    </row>
    <row r="68" spans="16:20" ht="15.75" customHeight="1" x14ac:dyDescent="0.2">
      <c r="P68" s="6" t="s">
        <v>58</v>
      </c>
      <c r="Q68" s="137">
        <v>54.24</v>
      </c>
      <c r="R68" s="5">
        <v>46038</v>
      </c>
      <c r="S68" s="169" t="s">
        <v>442</v>
      </c>
      <c r="T68" s="175"/>
    </row>
    <row r="69" spans="16:20" ht="15.75" customHeight="1" x14ac:dyDescent="0.2">
      <c r="P69" s="6" t="s">
        <v>50</v>
      </c>
      <c r="Q69" s="137">
        <v>54.24</v>
      </c>
      <c r="R69" s="5">
        <v>46038</v>
      </c>
      <c r="S69" s="169" t="s">
        <v>338</v>
      </c>
      <c r="T69" s="175"/>
    </row>
    <row r="70" spans="16:20" ht="15.75" customHeight="1" x14ac:dyDescent="0.2">
      <c r="P70" s="243" t="s">
        <v>50</v>
      </c>
      <c r="Q70" s="240">
        <v>12.98</v>
      </c>
      <c r="R70" s="241">
        <v>46039</v>
      </c>
      <c r="S70" s="242" t="s">
        <v>432</v>
      </c>
      <c r="T70" s="247" t="s">
        <v>418</v>
      </c>
    </row>
    <row r="71" spans="16:20" ht="15.75" customHeight="1" x14ac:dyDescent="0.2">
      <c r="P71" s="243" t="s">
        <v>21</v>
      </c>
      <c r="Q71" s="240">
        <v>20.51</v>
      </c>
      <c r="R71" s="241">
        <v>46039</v>
      </c>
      <c r="S71" s="242" t="s">
        <v>440</v>
      </c>
      <c r="T71" s="247" t="s">
        <v>418</v>
      </c>
    </row>
    <row r="72" spans="16:20" ht="15.75" customHeight="1" x14ac:dyDescent="0.2">
      <c r="P72" s="243"/>
      <c r="Q72" s="240">
        <v>177</v>
      </c>
      <c r="R72" s="241">
        <v>46039</v>
      </c>
      <c r="S72" s="242" t="s">
        <v>444</v>
      </c>
      <c r="T72" s="247" t="s">
        <v>418</v>
      </c>
    </row>
    <row r="73" spans="16:20" ht="15.75" customHeight="1" x14ac:dyDescent="0.2">
      <c r="P73" s="6" t="s">
        <v>59</v>
      </c>
      <c r="Q73" s="137">
        <v>3.09</v>
      </c>
      <c r="R73" s="5">
        <v>46041</v>
      </c>
      <c r="S73" s="169" t="s">
        <v>340</v>
      </c>
      <c r="T73" s="175"/>
    </row>
    <row r="74" spans="16:20" ht="15.75" customHeight="1" x14ac:dyDescent="0.2">
      <c r="P74" s="6" t="s">
        <v>59</v>
      </c>
      <c r="Q74" s="137">
        <v>6.89</v>
      </c>
      <c r="R74" s="5">
        <v>46041</v>
      </c>
      <c r="S74" s="169" t="s">
        <v>412</v>
      </c>
      <c r="T74" s="175"/>
    </row>
    <row r="75" spans="16:20" ht="15.75" customHeight="1" x14ac:dyDescent="0.2">
      <c r="P75" s="6" t="s">
        <v>19</v>
      </c>
      <c r="Q75" s="137">
        <v>21.9</v>
      </c>
      <c r="R75" s="5">
        <v>46041</v>
      </c>
      <c r="S75" s="169" t="s">
        <v>124</v>
      </c>
      <c r="T75" s="175"/>
    </row>
    <row r="76" spans="16:20" ht="15.75" customHeight="1" x14ac:dyDescent="0.2">
      <c r="P76" s="6" t="s">
        <v>35</v>
      </c>
      <c r="Q76" s="137">
        <v>29.9</v>
      </c>
      <c r="R76" s="5">
        <v>46041</v>
      </c>
      <c r="S76" s="169" t="s">
        <v>445</v>
      </c>
      <c r="T76" s="175"/>
    </row>
    <row r="77" spans="16:20" ht="15.75" customHeight="1" x14ac:dyDescent="0.2">
      <c r="P77" s="6" t="s">
        <v>58</v>
      </c>
      <c r="Q77" s="137">
        <f>47-17</f>
        <v>30</v>
      </c>
      <c r="R77" s="5">
        <v>46041</v>
      </c>
      <c r="S77" s="169" t="s">
        <v>210</v>
      </c>
      <c r="T77" s="175"/>
    </row>
    <row r="78" spans="16:20" ht="15.75" customHeight="1" x14ac:dyDescent="0.2">
      <c r="P78" s="6" t="s">
        <v>59</v>
      </c>
      <c r="Q78" s="137">
        <v>6.89</v>
      </c>
      <c r="R78" s="5">
        <v>46042</v>
      </c>
      <c r="S78" s="169" t="s">
        <v>412</v>
      </c>
      <c r="T78" s="175"/>
    </row>
    <row r="79" spans="16:20" ht="15.75" customHeight="1" x14ac:dyDescent="0.2">
      <c r="P79" s="6" t="s">
        <v>59</v>
      </c>
      <c r="Q79" s="137">
        <v>4.8899999999999997</v>
      </c>
      <c r="R79" s="5">
        <v>46043</v>
      </c>
      <c r="S79" s="169" t="s">
        <v>446</v>
      </c>
      <c r="T79" s="175"/>
    </row>
    <row r="80" spans="16:20" ht="15.75" customHeight="1" x14ac:dyDescent="0.2">
      <c r="P80" s="6" t="s">
        <v>58</v>
      </c>
      <c r="Q80" s="137">
        <v>10.7</v>
      </c>
      <c r="R80" s="5">
        <v>46043</v>
      </c>
      <c r="S80" s="169" t="s">
        <v>451</v>
      </c>
      <c r="T80" s="175"/>
    </row>
    <row r="81" spans="14:20" ht="15.75" customHeight="1" x14ac:dyDescent="0.2">
      <c r="P81" s="6" t="s">
        <v>50</v>
      </c>
      <c r="Q81" s="137">
        <v>67.7</v>
      </c>
      <c r="R81" s="5">
        <v>46043</v>
      </c>
      <c r="S81" s="169" t="s">
        <v>338</v>
      </c>
      <c r="T81" s="175"/>
    </row>
    <row r="82" spans="14:20" ht="15.75" customHeight="1" x14ac:dyDescent="0.2">
      <c r="P82" s="6" t="s">
        <v>59</v>
      </c>
      <c r="Q82" s="137">
        <v>26.9</v>
      </c>
      <c r="R82" s="5">
        <v>46044</v>
      </c>
      <c r="S82" s="169" t="s">
        <v>340</v>
      </c>
      <c r="T82" s="175"/>
    </row>
    <row r="83" spans="14:20" ht="15.75" customHeight="1" x14ac:dyDescent="0.2">
      <c r="P83" s="6" t="s">
        <v>450</v>
      </c>
      <c r="Q83" s="137">
        <v>13.3</v>
      </c>
      <c r="R83" s="5">
        <v>46047</v>
      </c>
      <c r="S83" s="169" t="s">
        <v>449</v>
      </c>
      <c r="T83" s="175"/>
    </row>
    <row r="84" spans="14:20" ht="15.75" customHeight="1" x14ac:dyDescent="0.2">
      <c r="P84" s="243" t="s">
        <v>33</v>
      </c>
      <c r="Q84" s="240">
        <v>26.5</v>
      </c>
      <c r="R84" s="241">
        <v>46047</v>
      </c>
      <c r="S84" s="242" t="s">
        <v>448</v>
      </c>
      <c r="T84" s="247" t="s">
        <v>418</v>
      </c>
    </row>
    <row r="85" spans="14:20" ht="15.75" customHeight="1" x14ac:dyDescent="0.2">
      <c r="P85" s="243" t="s">
        <v>33</v>
      </c>
      <c r="Q85" s="240">
        <v>60</v>
      </c>
      <c r="R85" s="241">
        <v>46047</v>
      </c>
      <c r="S85" s="242" t="s">
        <v>447</v>
      </c>
      <c r="T85" s="247" t="s">
        <v>418</v>
      </c>
    </row>
    <row r="86" spans="14:20" ht="15.75" customHeight="1" x14ac:dyDescent="0.2">
      <c r="P86" s="243" t="s">
        <v>50</v>
      </c>
      <c r="Q86" s="240">
        <v>169.47</v>
      </c>
      <c r="R86" s="241">
        <v>46047</v>
      </c>
      <c r="S86" s="242" t="s">
        <v>138</v>
      </c>
      <c r="T86" s="247" t="s">
        <v>418</v>
      </c>
    </row>
    <row r="87" spans="14:20" ht="15.75" customHeight="1" x14ac:dyDescent="0.2">
      <c r="P87" s="168" t="s">
        <v>35</v>
      </c>
      <c r="Q87" s="137">
        <v>53.92</v>
      </c>
      <c r="R87" s="5"/>
      <c r="S87" s="169" t="s">
        <v>403</v>
      </c>
      <c r="T87" s="175"/>
    </row>
    <row r="88" spans="14:20" ht="15.75" customHeight="1" x14ac:dyDescent="0.2">
      <c r="P88" s="6" t="s">
        <v>35</v>
      </c>
      <c r="Q88" s="137">
        <v>10.96</v>
      </c>
      <c r="R88" s="5">
        <v>46039</v>
      </c>
      <c r="S88" s="169" t="s">
        <v>52</v>
      </c>
      <c r="T88" s="175"/>
    </row>
    <row r="89" spans="14:20" ht="15.75" customHeight="1" x14ac:dyDescent="0.2">
      <c r="P89" s="6" t="s">
        <v>35</v>
      </c>
      <c r="Q89" s="137">
        <v>78.3</v>
      </c>
      <c r="R89" s="5">
        <v>46052</v>
      </c>
      <c r="S89" s="169" t="s">
        <v>452</v>
      </c>
      <c r="T89" s="175"/>
    </row>
    <row r="90" spans="14:20" ht="15.75" customHeight="1" x14ac:dyDescent="0.2">
      <c r="P90" s="6" t="s">
        <v>35</v>
      </c>
      <c r="Q90" s="137">
        <f>5.55*6</f>
        <v>33.299999999999997</v>
      </c>
      <c r="R90" s="5">
        <v>46052</v>
      </c>
      <c r="S90" s="169" t="s">
        <v>453</v>
      </c>
      <c r="T90" s="175"/>
    </row>
    <row r="91" spans="14:20" ht="15.75" customHeight="1" x14ac:dyDescent="0.2">
      <c r="N91" s="69"/>
      <c r="P91" s="6" t="s">
        <v>50</v>
      </c>
      <c r="Q91" s="137">
        <v>15</v>
      </c>
      <c r="R91" s="5">
        <v>46051</v>
      </c>
      <c r="S91" s="169" t="s">
        <v>454</v>
      </c>
      <c r="T91" s="175"/>
    </row>
    <row r="92" spans="14:20" ht="15.75" customHeight="1" x14ac:dyDescent="0.2">
      <c r="P92" s="6" t="s">
        <v>59</v>
      </c>
      <c r="Q92" s="137">
        <v>3.3</v>
      </c>
      <c r="R92" s="5">
        <v>46051</v>
      </c>
      <c r="S92" s="169" t="s">
        <v>455</v>
      </c>
      <c r="T92" s="175"/>
    </row>
    <row r="93" spans="14:20" ht="15.75" customHeight="1" x14ac:dyDescent="0.2">
      <c r="P93" s="6" t="s">
        <v>59</v>
      </c>
      <c r="Q93" s="137">
        <v>6</v>
      </c>
      <c r="R93" s="5">
        <v>46048</v>
      </c>
      <c r="S93" s="169" t="s">
        <v>456</v>
      </c>
      <c r="T93" s="175"/>
    </row>
    <row r="94" spans="14:20" ht="15.75" customHeight="1" x14ac:dyDescent="0.2">
      <c r="P94" s="6" t="s">
        <v>35</v>
      </c>
      <c r="Q94" s="137">
        <v>6.39</v>
      </c>
      <c r="R94" s="5" t="s">
        <v>458</v>
      </c>
      <c r="S94" s="169" t="s">
        <v>457</v>
      </c>
      <c r="T94" s="175"/>
    </row>
    <row r="95" spans="14:20" ht="15.75" customHeight="1" x14ac:dyDescent="0.2">
      <c r="P95" s="243" t="s">
        <v>21</v>
      </c>
      <c r="Q95" s="240">
        <v>76.78</v>
      </c>
      <c r="R95" s="241">
        <v>46050</v>
      </c>
      <c r="S95" s="242" t="s">
        <v>67</v>
      </c>
      <c r="T95" s="247" t="s">
        <v>418</v>
      </c>
    </row>
    <row r="96" spans="14:20" ht="15.75" customHeight="1" x14ac:dyDescent="0.2">
      <c r="P96" s="243" t="s">
        <v>58</v>
      </c>
      <c r="Q96" s="240">
        <v>28</v>
      </c>
      <c r="R96" s="241">
        <v>27</v>
      </c>
      <c r="S96" s="242" t="s">
        <v>443</v>
      </c>
      <c r="T96" s="247" t="s">
        <v>418</v>
      </c>
    </row>
    <row r="97" spans="16:20" ht="15.75" customHeight="1" x14ac:dyDescent="0.2">
      <c r="P97" s="6" t="s">
        <v>35</v>
      </c>
      <c r="Q97" s="137">
        <v>30</v>
      </c>
      <c r="R97" s="5"/>
      <c r="S97" s="169"/>
      <c r="T97" s="175"/>
    </row>
    <row r="98" spans="16:20" ht="15.75" customHeight="1" x14ac:dyDescent="0.2">
      <c r="P98" s="6" t="s">
        <v>35</v>
      </c>
      <c r="Q98" s="137">
        <v>25</v>
      </c>
      <c r="R98" s="5"/>
      <c r="S98" s="169"/>
      <c r="T98" s="175"/>
    </row>
    <row r="99" spans="16:20" ht="15.75" customHeight="1" x14ac:dyDescent="0.2">
      <c r="P99" s="6"/>
      <c r="Q99" s="137"/>
      <c r="R99" s="5"/>
      <c r="S99" s="169"/>
      <c r="T99" s="175"/>
    </row>
    <row r="100" spans="16:20" ht="15.75" customHeight="1" x14ac:dyDescent="0.2">
      <c r="P100" s="6"/>
      <c r="Q100" s="137"/>
      <c r="R100" s="5"/>
      <c r="S100" s="169"/>
      <c r="T100" s="175"/>
    </row>
    <row r="101" spans="16:20" ht="15.75" customHeight="1" x14ac:dyDescent="0.2">
      <c r="P101" s="6"/>
      <c r="Q101" s="137"/>
      <c r="R101" s="5"/>
      <c r="S101" s="169"/>
      <c r="T101" s="175"/>
    </row>
    <row r="102" spans="16:20" ht="15.75" customHeight="1" x14ac:dyDescent="0.2">
      <c r="P102" s="6"/>
      <c r="Q102" s="137"/>
      <c r="R102" s="5"/>
      <c r="S102" s="169"/>
      <c r="T102" s="175"/>
    </row>
    <row r="103" spans="16:20" ht="15.75" customHeight="1" x14ac:dyDescent="0.2">
      <c r="P103" s="6"/>
      <c r="Q103" s="137"/>
      <c r="R103" s="5"/>
      <c r="S103" s="169"/>
      <c r="T103" s="175"/>
    </row>
    <row r="104" spans="16:20" ht="15.75" customHeight="1" x14ac:dyDescent="0.2">
      <c r="P104" s="6"/>
      <c r="Q104" s="137"/>
      <c r="R104" s="5"/>
      <c r="S104" s="169"/>
      <c r="T104" s="175"/>
    </row>
    <row r="105" spans="16:20" ht="15.75" customHeight="1" x14ac:dyDescent="0.2">
      <c r="P105" s="6"/>
      <c r="Q105" s="137"/>
      <c r="R105" s="5"/>
      <c r="S105" s="169"/>
      <c r="T105" s="175"/>
    </row>
    <row r="106" spans="16:20" ht="15.75" customHeight="1" x14ac:dyDescent="0.2">
      <c r="P106" s="6"/>
      <c r="Q106" s="137"/>
      <c r="R106" s="5"/>
      <c r="S106" s="169"/>
      <c r="T106" s="175"/>
    </row>
    <row r="107" spans="16:20" ht="15.75" customHeight="1" x14ac:dyDescent="0.2">
      <c r="P107" s="6"/>
      <c r="Q107" s="137"/>
      <c r="R107" s="5"/>
      <c r="S107" s="169"/>
      <c r="T107" s="175"/>
    </row>
    <row r="108" spans="16:20" ht="15.75" customHeight="1" x14ac:dyDescent="0.2">
      <c r="P108" s="6"/>
      <c r="Q108" s="137"/>
      <c r="R108" s="5"/>
      <c r="S108" s="169"/>
      <c r="T108" s="175"/>
    </row>
    <row r="109" spans="16:20" ht="15.75" customHeight="1" x14ac:dyDescent="0.2">
      <c r="P109" s="6"/>
      <c r="Q109" s="137"/>
      <c r="R109" s="5"/>
      <c r="S109" s="169"/>
      <c r="T109" s="175"/>
    </row>
    <row r="110" spans="16:20" ht="15.75" customHeight="1" x14ac:dyDescent="0.2">
      <c r="P110" s="6"/>
      <c r="Q110" s="137"/>
      <c r="R110" s="5"/>
      <c r="S110" s="169"/>
      <c r="T110" s="175"/>
    </row>
    <row r="111" spans="16:20" ht="15.75" customHeight="1" x14ac:dyDescent="0.2">
      <c r="P111" s="6"/>
      <c r="Q111" s="137"/>
      <c r="R111" s="5"/>
      <c r="S111" s="169"/>
      <c r="T111" s="175"/>
    </row>
    <row r="112" spans="16:20" ht="15.75" customHeight="1" x14ac:dyDescent="0.2">
      <c r="P112" s="6"/>
      <c r="Q112" s="137"/>
      <c r="R112" s="5"/>
      <c r="S112" s="169"/>
      <c r="T112" s="175"/>
    </row>
    <row r="113" spans="16:20" ht="15.75" customHeight="1" x14ac:dyDescent="0.2">
      <c r="P113" s="6"/>
      <c r="Q113" s="137"/>
      <c r="R113" s="5"/>
      <c r="S113" s="169"/>
      <c r="T113" s="175"/>
    </row>
    <row r="114" spans="16:20" ht="15.75" customHeight="1" x14ac:dyDescent="0.2">
      <c r="P114" s="6"/>
      <c r="Q114" s="137"/>
      <c r="R114" s="5"/>
      <c r="S114" s="169"/>
      <c r="T114" s="175"/>
    </row>
    <row r="115" spans="16:20" ht="15.75" customHeight="1" x14ac:dyDescent="0.2">
      <c r="P115" s="6"/>
      <c r="Q115" s="137"/>
      <c r="R115" s="5"/>
      <c r="S115" s="169"/>
      <c r="T115" s="175"/>
    </row>
    <row r="116" spans="16:20" ht="15.75" customHeight="1" x14ac:dyDescent="0.2">
      <c r="P116" s="6"/>
      <c r="Q116" s="137"/>
      <c r="R116" s="5"/>
      <c r="S116" s="169"/>
      <c r="T116" s="175"/>
    </row>
    <row r="117" spans="16:20" ht="15.75" customHeight="1" x14ac:dyDescent="0.2">
      <c r="P117" s="6"/>
      <c r="Q117" s="137"/>
      <c r="R117" s="5"/>
      <c r="S117" s="169"/>
      <c r="T117" s="175"/>
    </row>
    <row r="118" spans="16:20" ht="15.75" customHeight="1" x14ac:dyDescent="0.2">
      <c r="P118" s="6"/>
      <c r="Q118" s="137"/>
      <c r="R118" s="5"/>
      <c r="S118" s="169"/>
      <c r="T118" s="175"/>
    </row>
    <row r="119" spans="16:20" ht="15.75" customHeight="1" x14ac:dyDescent="0.2">
      <c r="P119" s="6"/>
      <c r="Q119" s="137"/>
      <c r="R119" s="5"/>
      <c r="S119" s="169"/>
      <c r="T119" s="175"/>
    </row>
    <row r="120" spans="16:20" ht="15.75" customHeight="1" x14ac:dyDescent="0.2">
      <c r="P120" s="6"/>
      <c r="Q120" s="137"/>
      <c r="R120" s="5"/>
      <c r="S120" s="169"/>
      <c r="T120" s="175"/>
    </row>
    <row r="121" spans="16:20" ht="15.75" customHeight="1" x14ac:dyDescent="0.2">
      <c r="P121" s="6"/>
      <c r="Q121" s="137"/>
      <c r="R121" s="5"/>
      <c r="S121" s="169"/>
      <c r="T121" s="175"/>
    </row>
    <row r="122" spans="16:20" ht="15.75" customHeight="1" x14ac:dyDescent="0.2">
      <c r="P122" s="6"/>
      <c r="Q122" s="137"/>
      <c r="R122" s="5"/>
      <c r="S122" s="169"/>
      <c r="T122" s="175"/>
    </row>
    <row r="123" spans="16:20" ht="15.75" customHeight="1" x14ac:dyDescent="0.2">
      <c r="P123" s="6"/>
      <c r="Q123" s="137"/>
      <c r="R123" s="5"/>
      <c r="S123" s="169"/>
      <c r="T123" s="175"/>
    </row>
    <row r="124" spans="16:20" ht="15.75" customHeight="1" x14ac:dyDescent="0.2">
      <c r="P124" s="6"/>
      <c r="Q124" s="137"/>
      <c r="R124" s="5"/>
      <c r="S124" s="169"/>
      <c r="T124" s="175"/>
    </row>
    <row r="125" spans="16:20" ht="15.75" customHeight="1" x14ac:dyDescent="0.2">
      <c r="P125" s="6"/>
      <c r="Q125" s="137"/>
      <c r="R125" s="5"/>
      <c r="S125" s="169"/>
      <c r="T125" s="175"/>
    </row>
    <row r="126" spans="16:20" ht="15.75" customHeight="1" x14ac:dyDescent="0.2">
      <c r="P126" s="6"/>
      <c r="Q126" s="137"/>
      <c r="R126" s="5"/>
      <c r="S126" s="169"/>
      <c r="T126" s="175"/>
    </row>
    <row r="127" spans="16:20" ht="15.75" customHeight="1" x14ac:dyDescent="0.2">
      <c r="P127" s="6"/>
      <c r="Q127" s="137"/>
      <c r="R127" s="5"/>
      <c r="S127" s="169"/>
      <c r="T127" s="175"/>
    </row>
    <row r="128" spans="16:20" ht="15.75" customHeight="1" x14ac:dyDescent="0.2">
      <c r="P128" s="6"/>
      <c r="Q128" s="137"/>
      <c r="R128" s="5"/>
      <c r="S128" s="169"/>
      <c r="T128" s="175"/>
    </row>
    <row r="129" spans="16:20" ht="15.75" customHeight="1" x14ac:dyDescent="0.2">
      <c r="P129" s="6"/>
      <c r="Q129" s="137"/>
      <c r="R129" s="5"/>
      <c r="S129" s="169"/>
      <c r="T129" s="175"/>
    </row>
    <row r="130" spans="16:20" ht="15.75" customHeight="1" x14ac:dyDescent="0.2">
      <c r="P130" s="6"/>
      <c r="Q130" s="137"/>
      <c r="R130" s="5"/>
      <c r="S130" s="169"/>
      <c r="T130" s="175"/>
    </row>
    <row r="131" spans="16:20" ht="15.75" customHeight="1" x14ac:dyDescent="0.2">
      <c r="P131" s="6"/>
      <c r="Q131" s="137"/>
      <c r="R131" s="5"/>
      <c r="S131" s="169"/>
      <c r="T131" s="175"/>
    </row>
    <row r="132" spans="16:20" ht="15.75" customHeight="1" x14ac:dyDescent="0.2">
      <c r="P132" s="6"/>
      <c r="Q132" s="137"/>
      <c r="R132" s="5"/>
      <c r="S132" s="169"/>
      <c r="T132" s="175"/>
    </row>
    <row r="133" spans="16:20" ht="15.75" customHeight="1" x14ac:dyDescent="0.2">
      <c r="P133" s="6"/>
      <c r="Q133" s="137"/>
      <c r="R133" s="5"/>
      <c r="S133" s="169"/>
      <c r="T133" s="175"/>
    </row>
    <row r="134" spans="16:20" ht="15.75" customHeight="1" x14ac:dyDescent="0.2">
      <c r="P134" s="6"/>
      <c r="Q134" s="137"/>
      <c r="R134" s="5"/>
      <c r="S134" s="169"/>
      <c r="T134" s="175"/>
    </row>
    <row r="135" spans="16:20" ht="15.75" customHeight="1" x14ac:dyDescent="0.2">
      <c r="P135" s="6"/>
      <c r="Q135" s="137"/>
      <c r="R135" s="5"/>
      <c r="S135" s="169"/>
      <c r="T135" s="175"/>
    </row>
    <row r="136" spans="16:20" ht="15.75" customHeight="1" x14ac:dyDescent="0.2">
      <c r="P136" s="6"/>
      <c r="Q136" s="137"/>
      <c r="R136" s="5"/>
      <c r="S136" s="169"/>
      <c r="T136" s="175"/>
    </row>
    <row r="137" spans="16:20" ht="15.75" customHeight="1" x14ac:dyDescent="0.2">
      <c r="P137" s="6"/>
      <c r="Q137" s="137"/>
      <c r="R137" s="5"/>
      <c r="S137" s="169"/>
      <c r="T137" s="175"/>
    </row>
    <row r="138" spans="16:20" ht="15.75" customHeight="1" x14ac:dyDescent="0.2">
      <c r="P138" s="6"/>
      <c r="Q138" s="137"/>
      <c r="R138" s="5"/>
      <c r="S138" s="169"/>
      <c r="T138" s="175"/>
    </row>
    <row r="139" spans="16:20" ht="15.75" customHeight="1" x14ac:dyDescent="0.2">
      <c r="P139" s="6"/>
      <c r="Q139" s="137"/>
      <c r="R139" s="5"/>
      <c r="S139" s="169"/>
      <c r="T139" s="175"/>
    </row>
    <row r="140" spans="16:20" ht="15.75" customHeight="1" x14ac:dyDescent="0.2">
      <c r="P140" s="6"/>
      <c r="Q140" s="137"/>
      <c r="R140" s="5"/>
      <c r="S140" s="169"/>
      <c r="T140" s="175"/>
    </row>
    <row r="141" spans="16:20" ht="15.75" customHeight="1" x14ac:dyDescent="0.2">
      <c r="P141" s="6"/>
      <c r="Q141" s="137"/>
      <c r="R141" s="5"/>
      <c r="S141" s="169"/>
      <c r="T141" s="175"/>
    </row>
    <row r="142" spans="16:20" ht="15.75" customHeight="1" x14ac:dyDescent="0.2">
      <c r="P142" s="6"/>
      <c r="Q142" s="137"/>
      <c r="R142" s="5"/>
      <c r="S142" s="169"/>
      <c r="T142" s="175"/>
    </row>
    <row r="143" spans="16:20" ht="15.75" customHeight="1" x14ac:dyDescent="0.2">
      <c r="P143" s="120"/>
      <c r="Q143" s="197"/>
      <c r="R143" s="50"/>
      <c r="S143" s="170"/>
      <c r="T143" s="175"/>
    </row>
    <row r="144" spans="16:20" ht="15.75" customHeight="1" x14ac:dyDescent="0.2">
      <c r="P144" s="120"/>
      <c r="Q144" s="197"/>
      <c r="R144" s="50"/>
      <c r="S144" s="217"/>
      <c r="T144" s="175"/>
    </row>
    <row r="145" spans="16:20" ht="15.75" customHeight="1" x14ac:dyDescent="0.2">
      <c r="P145" s="120"/>
      <c r="Q145" s="197"/>
      <c r="R145" s="50"/>
      <c r="S145" s="170"/>
      <c r="T145" s="175"/>
    </row>
    <row r="146" spans="16:20" ht="15.75" customHeight="1" x14ac:dyDescent="0.2">
      <c r="P146" s="120"/>
      <c r="Q146" s="197"/>
      <c r="R146" s="50"/>
      <c r="S146" s="170"/>
      <c r="T146" s="175"/>
    </row>
    <row r="147" spans="16:20" ht="15.75" customHeight="1" x14ac:dyDescent="0.2">
      <c r="P147" s="120"/>
      <c r="Q147" s="197"/>
      <c r="R147" s="50"/>
      <c r="S147" s="170"/>
      <c r="T147" s="175"/>
    </row>
    <row r="148" spans="16:20" ht="15.75" customHeight="1" x14ac:dyDescent="0.2">
      <c r="P148" s="120"/>
      <c r="Q148" s="197"/>
      <c r="R148" s="50"/>
      <c r="S148" s="170"/>
      <c r="T148" s="175"/>
    </row>
    <row r="149" spans="16:20" ht="15.75" customHeight="1" x14ac:dyDescent="0.2">
      <c r="P149" s="120"/>
      <c r="Q149" s="197"/>
      <c r="R149" s="50"/>
      <c r="S149" s="170"/>
      <c r="T149" s="175"/>
    </row>
    <row r="150" spans="16:20" ht="15.75" customHeight="1" x14ac:dyDescent="0.2">
      <c r="P150" s="120"/>
      <c r="Q150" s="197"/>
      <c r="R150" s="50"/>
      <c r="S150" s="170"/>
      <c r="T150" s="175"/>
    </row>
  </sheetData>
  <mergeCells count="11">
    <mergeCell ref="B2:C2"/>
    <mergeCell ref="B7:B8"/>
    <mergeCell ref="M11:N11"/>
    <mergeCell ref="B12:B13"/>
    <mergeCell ref="C12:C13"/>
    <mergeCell ref="E22:G22"/>
    <mergeCell ref="K22:N23"/>
    <mergeCell ref="K24:N25"/>
    <mergeCell ref="K38:K40"/>
    <mergeCell ref="B16:B17"/>
    <mergeCell ref="C16:C17"/>
  </mergeCells>
  <conditionalFormatting sqref="B39">
    <cfRule type="colorScale" priority="1">
      <colorScale>
        <cfvo type="min"/>
        <cfvo type="max"/>
        <color theme="8" tint="0.39997558519241921"/>
        <color theme="8" tint="0.39997558519241921"/>
      </colorScale>
    </cfRule>
  </conditionalFormatting>
  <conditionalFormatting sqref="F24:F33">
    <cfRule type="cellIs" dxfId="69" priority="7" operator="greaterThan">
      <formula>0</formula>
    </cfRule>
    <cfRule type="cellIs" dxfId="68" priority="11" operator="lessThan">
      <formula>0</formula>
    </cfRule>
  </conditionalFormatting>
  <conditionalFormatting sqref="G24:G33">
    <cfRule type="cellIs" dxfId="67" priority="2" operator="lessThan">
      <formula>0</formula>
    </cfRule>
    <cfRule type="cellIs" dxfId="66" priority="3" operator="greaterThan">
      <formula>0</formula>
    </cfRule>
    <cfRule type="cellIs" dxfId="65" priority="4" operator="greaterThan">
      <formula>0</formula>
    </cfRule>
  </conditionalFormatting>
  <conditionalFormatting sqref="K22">
    <cfRule type="containsText" dxfId="64" priority="6" operator="containsText" text="Gasto com Extra ok">
      <formula>NOT(ISERROR(SEARCH("Gasto com Extra ok",K22)))</formula>
    </cfRule>
    <cfRule type="containsText" dxfId="63" priority="8" operator="containsText" text="Continuem assim">
      <formula>NOT(ISERROR(SEARCH("Continuem assim",K22)))</formula>
    </cfRule>
    <cfRule type="containsText" dxfId="62" priority="12" operator="containsText" text="ATENÇÃO, JÁ GASTAMOS">
      <formula>NOT(ISERROR(SEARCH("ATENÇÃO, JÁ GASTAMOS",K22)))</formula>
    </cfRule>
    <cfRule type="containsText" dxfId="61" priority="13" operator="containsText" text="ATENÇÃO, JA GASTAMOS">
      <formula>NOT(ISERROR(SEARCH("ATENÇÃO, JA GASTAMOS",K22)))</formula>
    </cfRule>
    <cfRule type="containsText" dxfId="60" priority="14" operator="containsText" text="ATENÇÃO PARA OS GASTOS">
      <formula>NOT(ISERROR(SEARCH("ATENÇÃO PARA OS GASTOS",K22)))</formula>
    </cfRule>
    <cfRule type="cellIs" dxfId="59" priority="15" operator="lessThan">
      <formula>150</formula>
    </cfRule>
  </conditionalFormatting>
  <conditionalFormatting sqref="K24">
    <cfRule type="containsText" dxfId="58" priority="9" operator="containsText" text="Os valores estão positivos">
      <formula>NOT(ISERROR(SEARCH("Os valores estão positivos",K24)))</formula>
    </cfRule>
    <cfRule type="containsText" dxfId="57" priority="10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56" priority="5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22F2-A8BF-4E88-8D72-FE8D5426EE03}">
  <sheetPr>
    <outlinePr summaryBelow="0" summaryRight="0"/>
  </sheetPr>
  <dimension ref="B1:V147"/>
  <sheetViews>
    <sheetView topLeftCell="G71" zoomScaleNormal="100" workbookViewId="0">
      <selection activeCell="Q102" sqref="Q102"/>
    </sheetView>
  </sheetViews>
  <sheetFormatPr defaultColWidth="12.5703125" defaultRowHeight="15.75" customHeight="1" x14ac:dyDescent="0.2"/>
  <cols>
    <col min="1" max="1" width="1.5703125" customWidth="1"/>
    <col min="2" max="2" width="27.85546875" customWidth="1"/>
    <col min="3" max="3" width="17.28515625" bestFit="1" customWidth="1"/>
    <col min="4" max="4" width="2.42578125" customWidth="1"/>
    <col min="5" max="5" width="22.85546875" bestFit="1" customWidth="1"/>
    <col min="6" max="6" width="23.425781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13.42578125" bestFit="1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2.42578125" style="69" bestFit="1" customWidth="1"/>
    <col min="18" max="18" width="9.7109375" bestFit="1" customWidth="1"/>
    <col min="19" max="19" width="51.7109375" bestFit="1" customWidth="1"/>
    <col min="20" max="20" width="12.42578125" bestFit="1" customWidth="1"/>
    <col min="21" max="21" width="7" bestFit="1" customWidth="1"/>
    <col min="22" max="22" width="17.28515625" bestFit="1" customWidth="1"/>
    <col min="23" max="23" width="13.140625" customWidth="1"/>
    <col min="24" max="24" width="17.28515625" bestFit="1" customWidth="1"/>
    <col min="25" max="25" width="22.28515625" bestFit="1" customWidth="1"/>
    <col min="28" max="28" width="22.28515625" bestFit="1" customWidth="1"/>
  </cols>
  <sheetData>
    <row r="1" spans="2:22" ht="9" customHeight="1" x14ac:dyDescent="0.2">
      <c r="T1" s="51"/>
      <c r="U1" s="51"/>
      <c r="V1" s="51"/>
    </row>
    <row r="2" spans="2:22" ht="15.75" customHeight="1" x14ac:dyDescent="0.2">
      <c r="B2" s="339" t="s">
        <v>0</v>
      </c>
      <c r="C2" s="340"/>
      <c r="D2" s="37"/>
      <c r="E2" s="98" t="s">
        <v>1</v>
      </c>
      <c r="F2" s="258" t="s">
        <v>27</v>
      </c>
      <c r="H2" s="37"/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5" t="s">
        <v>60</v>
      </c>
      <c r="Q2" s="174" t="s">
        <v>27</v>
      </c>
      <c r="R2" s="162" t="s">
        <v>36</v>
      </c>
      <c r="S2" s="163" t="s">
        <v>37</v>
      </c>
      <c r="T2" s="234" t="s">
        <v>417</v>
      </c>
      <c r="U2" s="51"/>
      <c r="V2" s="52"/>
    </row>
    <row r="3" spans="2:22" ht="15.75" customHeight="1" x14ac:dyDescent="0.2">
      <c r="B3" s="1" t="s">
        <v>43</v>
      </c>
      <c r="C3" s="1">
        <v>1751.86</v>
      </c>
      <c r="D3" s="37"/>
      <c r="E3" s="97" t="s">
        <v>4</v>
      </c>
      <c r="F3" s="257">
        <v>760</v>
      </c>
      <c r="H3" s="37"/>
      <c r="I3" s="126" t="s">
        <v>3</v>
      </c>
      <c r="J3" s="125">
        <v>64.900000000000006</v>
      </c>
      <c r="K3" s="129">
        <v>45937</v>
      </c>
      <c r="M3" s="25" t="s">
        <v>2</v>
      </c>
      <c r="N3" s="26" t="s">
        <v>39</v>
      </c>
      <c r="P3" s="93" t="s">
        <v>33</v>
      </c>
      <c r="Q3" s="137">
        <v>122.13</v>
      </c>
      <c r="R3" s="5">
        <v>46052</v>
      </c>
      <c r="S3" s="169" t="s">
        <v>463</v>
      </c>
      <c r="T3" s="175"/>
      <c r="V3" s="260"/>
    </row>
    <row r="4" spans="2:22" ht="15.75" customHeight="1" x14ac:dyDescent="0.2">
      <c r="B4" s="1" t="s">
        <v>44</v>
      </c>
      <c r="C4" s="1">
        <v>2332</v>
      </c>
      <c r="D4" s="37"/>
      <c r="E4" s="97" t="s">
        <v>6</v>
      </c>
      <c r="F4" s="257">
        <v>596</v>
      </c>
      <c r="G4" s="109"/>
      <c r="H4" s="37"/>
      <c r="I4" s="126" t="s">
        <v>5</v>
      </c>
      <c r="J4" s="125">
        <v>147</v>
      </c>
      <c r="K4" s="129">
        <v>46000</v>
      </c>
      <c r="M4" s="25" t="s">
        <v>3</v>
      </c>
      <c r="N4" s="26">
        <v>24.9</v>
      </c>
      <c r="P4" s="253" t="s">
        <v>33</v>
      </c>
      <c r="Q4" s="240">
        <v>235</v>
      </c>
      <c r="R4" s="241">
        <v>46053</v>
      </c>
      <c r="S4" s="242" t="s">
        <v>464</v>
      </c>
      <c r="T4" s="247" t="s">
        <v>489</v>
      </c>
      <c r="V4" s="52"/>
    </row>
    <row r="5" spans="2:22" ht="15.75" customHeight="1" x14ac:dyDescent="0.2">
      <c r="B5" s="1" t="s">
        <v>56</v>
      </c>
      <c r="C5" s="1">
        <v>812</v>
      </c>
      <c r="D5" s="37"/>
      <c r="E5" s="97" t="s">
        <v>9</v>
      </c>
      <c r="F5" s="257">
        <v>295.95999999999998</v>
      </c>
      <c r="G5" s="109"/>
      <c r="H5" s="37"/>
      <c r="I5" s="126" t="s">
        <v>8</v>
      </c>
      <c r="J5" s="125">
        <v>46.96</v>
      </c>
      <c r="K5" s="129">
        <v>45940</v>
      </c>
      <c r="M5" s="25" t="s">
        <v>7</v>
      </c>
      <c r="N5" s="26">
        <v>14</v>
      </c>
      <c r="P5" s="253" t="s">
        <v>59</v>
      </c>
      <c r="Q5" s="240">
        <v>50</v>
      </c>
      <c r="R5" s="241">
        <v>46053</v>
      </c>
      <c r="S5" s="242" t="s">
        <v>464</v>
      </c>
      <c r="T5" s="247" t="s">
        <v>489</v>
      </c>
      <c r="V5" s="52"/>
    </row>
    <row r="6" spans="2:22" ht="15.75" customHeight="1" x14ac:dyDescent="0.2">
      <c r="B6" s="1" t="s">
        <v>63</v>
      </c>
      <c r="C6" s="1">
        <v>818</v>
      </c>
      <c r="D6" s="37"/>
      <c r="E6" s="97" t="s">
        <v>12</v>
      </c>
      <c r="F6" s="257">
        <v>97</v>
      </c>
      <c r="G6" s="109"/>
      <c r="H6" s="37"/>
      <c r="I6" s="126" t="s">
        <v>226</v>
      </c>
      <c r="J6" s="125">
        <v>179.58</v>
      </c>
      <c r="K6" s="130">
        <v>45996</v>
      </c>
      <c r="M6" s="25" t="s">
        <v>10</v>
      </c>
      <c r="N6" s="26">
        <v>20</v>
      </c>
      <c r="P6" s="253" t="s">
        <v>58</v>
      </c>
      <c r="Q6" s="240">
        <v>50</v>
      </c>
      <c r="R6" s="241">
        <v>46053</v>
      </c>
      <c r="S6" s="242" t="s">
        <v>464</v>
      </c>
      <c r="T6" s="247" t="s">
        <v>489</v>
      </c>
      <c r="U6" s="37"/>
      <c r="V6" s="52"/>
    </row>
    <row r="7" spans="2:22" ht="15.75" customHeight="1" x14ac:dyDescent="0.2">
      <c r="B7" s="343" t="s">
        <v>15</v>
      </c>
      <c r="C7" s="41">
        <v>445</v>
      </c>
      <c r="D7" s="37"/>
      <c r="E7" s="97" t="s">
        <v>16</v>
      </c>
      <c r="F7" s="257">
        <v>200</v>
      </c>
      <c r="G7" s="109"/>
      <c r="H7" s="37"/>
      <c r="I7" s="126" t="s">
        <v>105</v>
      </c>
      <c r="J7" s="125">
        <v>60</v>
      </c>
      <c r="K7" s="129" t="s">
        <v>234</v>
      </c>
      <c r="M7" s="25" t="s">
        <v>13</v>
      </c>
      <c r="N7" s="26">
        <v>19.989999999999998</v>
      </c>
      <c r="P7" s="253" t="s">
        <v>33</v>
      </c>
      <c r="Q7" s="240">
        <v>237.48</v>
      </c>
      <c r="R7" s="241">
        <v>46053</v>
      </c>
      <c r="S7" s="242" t="s">
        <v>465</v>
      </c>
      <c r="T7" s="247" t="s">
        <v>489</v>
      </c>
      <c r="U7" s="37"/>
      <c r="V7" s="52"/>
    </row>
    <row r="8" spans="2:22" ht="15.75" customHeight="1" x14ac:dyDescent="0.2">
      <c r="B8" s="344"/>
      <c r="C8" s="41">
        <v>409</v>
      </c>
      <c r="D8" s="37"/>
      <c r="E8" s="97" t="s">
        <v>459</v>
      </c>
      <c r="F8" s="257">
        <f>N9</f>
        <v>85.89</v>
      </c>
      <c r="H8" s="37"/>
      <c r="I8" s="126" t="s">
        <v>481</v>
      </c>
      <c r="J8" s="125" t="s">
        <v>39</v>
      </c>
      <c r="K8" s="129">
        <v>46357</v>
      </c>
      <c r="M8" s="25" t="s">
        <v>17</v>
      </c>
      <c r="N8" s="26">
        <v>7</v>
      </c>
      <c r="P8" s="6" t="s">
        <v>50</v>
      </c>
      <c r="Q8" s="137">
        <f>203.34+153</f>
        <v>356.34000000000003</v>
      </c>
      <c r="R8" s="5">
        <v>46054</v>
      </c>
      <c r="S8" s="169" t="s">
        <v>138</v>
      </c>
      <c r="T8" s="175"/>
      <c r="U8" s="37"/>
      <c r="V8" s="52"/>
    </row>
    <row r="9" spans="2:22" ht="15.75" customHeight="1" x14ac:dyDescent="0.2">
      <c r="B9" s="248"/>
      <c r="C9" s="249"/>
      <c r="D9" s="37"/>
      <c r="E9" s="132" t="s">
        <v>20</v>
      </c>
      <c r="F9" s="133">
        <f>SUM(F4:F8)</f>
        <v>1274.8500000000001</v>
      </c>
      <c r="H9" s="37"/>
      <c r="I9" s="126" t="s">
        <v>482</v>
      </c>
      <c r="J9" s="125" t="s">
        <v>39</v>
      </c>
      <c r="K9" s="129" t="s">
        <v>39</v>
      </c>
      <c r="M9" s="31" t="s">
        <v>20</v>
      </c>
      <c r="N9" s="32">
        <f>SUM(N3:N8)</f>
        <v>85.89</v>
      </c>
      <c r="P9" s="93" t="s">
        <v>35</v>
      </c>
      <c r="Q9" s="137">
        <f>7.01+7.28+7.22</f>
        <v>21.509999999999998</v>
      </c>
      <c r="R9" s="5">
        <v>46055</v>
      </c>
      <c r="S9" s="169" t="s">
        <v>52</v>
      </c>
      <c r="T9" s="175"/>
      <c r="U9" s="37"/>
      <c r="V9" s="52"/>
    </row>
    <row r="10" spans="2:22" ht="15.75" customHeight="1" x14ac:dyDescent="0.2">
      <c r="B10" s="248"/>
      <c r="C10" s="172">
        <v>0</v>
      </c>
      <c r="D10" s="37"/>
      <c r="H10" s="37"/>
      <c r="I10" s="132" t="s">
        <v>20</v>
      </c>
      <c r="J10" s="133">
        <f>SUM(J3:J9)</f>
        <v>498.44000000000005</v>
      </c>
      <c r="K10" s="135" t="s">
        <v>39</v>
      </c>
      <c r="N10" s="37"/>
      <c r="O10" s="37"/>
      <c r="P10" s="6" t="s">
        <v>34</v>
      </c>
      <c r="Q10" s="137">
        <v>79.900000000000006</v>
      </c>
      <c r="R10" s="5">
        <v>46056</v>
      </c>
      <c r="S10" s="169" t="s">
        <v>468</v>
      </c>
      <c r="T10" s="175"/>
      <c r="U10" s="37"/>
      <c r="V10" s="52"/>
    </row>
    <row r="11" spans="2:22" ht="16.5" x14ac:dyDescent="0.2">
      <c r="B11" s="248"/>
      <c r="C11" s="249"/>
      <c r="D11" s="37"/>
      <c r="H11" s="37"/>
      <c r="M11" s="341" t="s">
        <v>40</v>
      </c>
      <c r="N11" s="342"/>
      <c r="P11" s="93" t="s">
        <v>59</v>
      </c>
      <c r="Q11" s="137">
        <v>50</v>
      </c>
      <c r="R11" s="5">
        <v>46056</v>
      </c>
      <c r="S11" s="169" t="s">
        <v>469</v>
      </c>
      <c r="T11" s="175"/>
      <c r="U11" s="37"/>
      <c r="V11" s="52"/>
    </row>
    <row r="12" spans="2:22" ht="16.5" x14ac:dyDescent="0.2">
      <c r="B12" s="346" t="s">
        <v>20</v>
      </c>
      <c r="C12" s="347">
        <f>SUM(C3:C9)</f>
        <v>6567.86</v>
      </c>
      <c r="D12" s="37"/>
      <c r="H12" s="37"/>
      <c r="I12" s="69"/>
      <c r="M12" s="27" t="s">
        <v>41</v>
      </c>
      <c r="N12" s="38">
        <v>15000</v>
      </c>
      <c r="P12" s="93" t="s">
        <v>35</v>
      </c>
      <c r="Q12" s="137">
        <v>7.21</v>
      </c>
      <c r="R12" s="5">
        <v>46056</v>
      </c>
      <c r="S12" s="169" t="s">
        <v>209</v>
      </c>
      <c r="T12" s="175"/>
      <c r="U12" s="37"/>
      <c r="V12" s="52"/>
    </row>
    <row r="13" spans="2:22" ht="16.5" x14ac:dyDescent="0.2">
      <c r="B13" s="344"/>
      <c r="C13" s="348"/>
      <c r="D13" s="37"/>
      <c r="F13" s="69"/>
      <c r="G13" s="259"/>
      <c r="H13" s="37"/>
      <c r="J13" s="96"/>
      <c r="M13" s="28" t="s">
        <v>42</v>
      </c>
      <c r="N13" s="39">
        <f>8063</f>
        <v>8063</v>
      </c>
      <c r="P13" s="93" t="s">
        <v>35</v>
      </c>
      <c r="Q13" s="137">
        <v>7.22</v>
      </c>
      <c r="R13" s="5">
        <v>46056</v>
      </c>
      <c r="S13" s="169" t="s">
        <v>209</v>
      </c>
      <c r="T13" s="175"/>
      <c r="U13" s="37"/>
      <c r="V13" s="52"/>
    </row>
    <row r="14" spans="2:22" ht="16.5" x14ac:dyDescent="0.2">
      <c r="B14" s="37"/>
      <c r="C14" s="37"/>
      <c r="D14" s="37"/>
      <c r="F14" s="69"/>
      <c r="G14" s="259"/>
      <c r="H14" s="37"/>
      <c r="I14" s="96"/>
      <c r="J14" s="69"/>
      <c r="M14" s="29" t="s">
        <v>64</v>
      </c>
      <c r="N14" s="40">
        <f>N12-N13</f>
        <v>6937</v>
      </c>
      <c r="P14" s="93" t="s">
        <v>35</v>
      </c>
      <c r="Q14" s="137">
        <v>19.989999999999998</v>
      </c>
      <c r="R14" s="5">
        <v>46056</v>
      </c>
      <c r="S14" s="169" t="s">
        <v>472</v>
      </c>
      <c r="T14" s="175"/>
      <c r="U14" s="37"/>
      <c r="V14" s="52"/>
    </row>
    <row r="15" spans="2:22" ht="12.75" x14ac:dyDescent="0.2">
      <c r="B15" s="43"/>
      <c r="C15" s="43"/>
      <c r="D15" s="43"/>
      <c r="E15" s="44"/>
      <c r="F15" s="70"/>
      <c r="G15" s="173"/>
      <c r="H15" s="37"/>
      <c r="N15" s="37"/>
      <c r="O15" s="37"/>
      <c r="P15" s="93" t="s">
        <v>35</v>
      </c>
      <c r="Q15" s="137">
        <v>9.42</v>
      </c>
      <c r="R15" s="5">
        <v>46057</v>
      </c>
      <c r="S15" s="169" t="s">
        <v>209</v>
      </c>
      <c r="T15" s="175"/>
      <c r="U15" s="37"/>
      <c r="V15" s="52"/>
    </row>
    <row r="16" spans="2:22" ht="12.75" x14ac:dyDescent="0.2">
      <c r="B16" s="335" t="s">
        <v>239</v>
      </c>
      <c r="C16" s="337">
        <f>C12-F9-J10</f>
        <v>4794.57</v>
      </c>
      <c r="D16" s="43"/>
      <c r="E16" s="71"/>
      <c r="F16" s="72"/>
      <c r="G16" s="72"/>
      <c r="H16" s="44"/>
      <c r="I16" s="69"/>
      <c r="N16" s="37"/>
      <c r="O16" s="37"/>
      <c r="P16" s="147" t="s">
        <v>35</v>
      </c>
      <c r="Q16" s="137">
        <v>5.22</v>
      </c>
      <c r="R16" s="5">
        <v>46057</v>
      </c>
      <c r="S16" s="169" t="s">
        <v>209</v>
      </c>
      <c r="T16" s="175"/>
      <c r="U16" s="37"/>
      <c r="V16" s="52"/>
    </row>
    <row r="17" spans="2:22" ht="12.75" x14ac:dyDescent="0.2">
      <c r="B17" s="336"/>
      <c r="C17" s="336"/>
      <c r="D17" s="43"/>
      <c r="E17" s="70"/>
      <c r="F17" s="69"/>
      <c r="G17" s="44"/>
      <c r="H17" s="44"/>
      <c r="K17" s="96"/>
      <c r="N17" s="37"/>
      <c r="P17" s="93" t="s">
        <v>59</v>
      </c>
      <c r="Q17" s="137">
        <v>23.65</v>
      </c>
      <c r="R17" s="5">
        <v>46057</v>
      </c>
      <c r="S17" s="169" t="s">
        <v>268</v>
      </c>
      <c r="T17" s="175"/>
      <c r="U17" s="37"/>
      <c r="V17" s="52"/>
    </row>
    <row r="18" spans="2:22" ht="12.75" customHeight="1" x14ac:dyDescent="0.2">
      <c r="B18" s="43"/>
      <c r="C18" s="43"/>
      <c r="D18" s="43"/>
      <c r="F18" s="69"/>
      <c r="I18" s="51"/>
      <c r="J18" s="51"/>
      <c r="K18" s="51"/>
      <c r="L18" s="37"/>
      <c r="M18" s="37"/>
      <c r="N18" s="37"/>
      <c r="P18" s="6" t="s">
        <v>32</v>
      </c>
      <c r="Q18" s="137">
        <v>64.98</v>
      </c>
      <c r="R18" s="5">
        <v>46058</v>
      </c>
      <c r="S18" s="169" t="s">
        <v>467</v>
      </c>
      <c r="T18" s="175"/>
      <c r="U18" s="37"/>
      <c r="V18" s="52"/>
    </row>
    <row r="19" spans="2:22" ht="12.75" x14ac:dyDescent="0.2">
      <c r="J19" s="70"/>
      <c r="K19" s="37"/>
      <c r="L19" s="37"/>
      <c r="M19" s="37"/>
      <c r="N19" s="37"/>
      <c r="P19" s="253" t="s">
        <v>35</v>
      </c>
      <c r="Q19" s="240">
        <v>99.99</v>
      </c>
      <c r="R19" s="241">
        <v>46059</v>
      </c>
      <c r="S19" s="242" t="s">
        <v>466</v>
      </c>
      <c r="T19" s="247" t="s">
        <v>418</v>
      </c>
      <c r="U19" s="37"/>
      <c r="V19" s="52"/>
    </row>
    <row r="20" spans="2:22" ht="12.75" x14ac:dyDescent="0.2">
      <c r="B20" s="37"/>
      <c r="C20" s="37"/>
      <c r="D20" s="37"/>
      <c r="J20" s="37"/>
      <c r="K20" s="37"/>
      <c r="L20" s="37"/>
      <c r="M20" s="37"/>
      <c r="N20" s="37"/>
      <c r="P20" s="36" t="s">
        <v>50</v>
      </c>
      <c r="Q20" s="137">
        <v>20.63</v>
      </c>
      <c r="R20" s="5">
        <v>46059</v>
      </c>
      <c r="S20" s="169" t="s">
        <v>470</v>
      </c>
      <c r="T20" s="175"/>
    </row>
    <row r="21" spans="2:22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93" t="s">
        <v>33</v>
      </c>
      <c r="Q21" s="137">
        <v>28.5</v>
      </c>
      <c r="R21" s="5">
        <v>46059</v>
      </c>
      <c r="S21" s="169" t="s">
        <v>471</v>
      </c>
      <c r="T21" s="175"/>
      <c r="V21" s="69"/>
    </row>
    <row r="22" spans="2:22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79">
        <f>SUMIFS(Q3:Q147,P3:P147,"Casa")</f>
        <v>144.98000000000002</v>
      </c>
      <c r="K22" s="345" t="str">
        <f>IF(J28&gt;=200,"ATENÇÃO AO GASTO EXTRA R$ " &amp; SUM(J28), "GASTO COM EXTRA OK !")</f>
        <v>ATENÇÃO AO GASTO EXTRA R$ 1018,91</v>
      </c>
      <c r="L22" s="345"/>
      <c r="M22" s="345"/>
      <c r="N22" s="345"/>
      <c r="P22" s="243" t="s">
        <v>21</v>
      </c>
      <c r="Q22" s="240">
        <v>71.31</v>
      </c>
      <c r="R22" s="241">
        <v>46059</v>
      </c>
      <c r="S22" s="242" t="s">
        <v>223</v>
      </c>
      <c r="T22" s="247" t="s">
        <v>418</v>
      </c>
    </row>
    <row r="23" spans="2:22" ht="15.75" customHeight="1" x14ac:dyDescent="0.2">
      <c r="B23" s="3" t="s">
        <v>31</v>
      </c>
      <c r="C23" s="46">
        <v>0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79">
        <f>SUMIFS(Q3:Q147,P3:P147,"Lazer")</f>
        <v>1073.5833333333335</v>
      </c>
      <c r="K23" s="345"/>
      <c r="L23" s="345"/>
      <c r="M23" s="345"/>
      <c r="N23" s="345"/>
      <c r="P23" s="240" t="s">
        <v>34</v>
      </c>
      <c r="Q23" s="240">
        <v>76</v>
      </c>
      <c r="R23" s="241">
        <v>46059</v>
      </c>
      <c r="S23" s="242" t="s">
        <v>480</v>
      </c>
      <c r="T23" s="247" t="s">
        <v>418</v>
      </c>
    </row>
    <row r="24" spans="2:22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v>0</v>
      </c>
      <c r="G24" s="134">
        <v>0</v>
      </c>
      <c r="H24" s="2"/>
      <c r="I24" s="6" t="s">
        <v>34</v>
      </c>
      <c r="J24" s="79">
        <f>SUMIFS(Q3:Q147,P3:P147,"Roupas")</f>
        <v>170.9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240" t="s">
        <v>35</v>
      </c>
      <c r="Q24" s="240">
        <v>129.69999999999999</v>
      </c>
      <c r="R24" s="241">
        <v>46059</v>
      </c>
      <c r="S24" s="242" t="s">
        <v>490</v>
      </c>
      <c r="T24" s="247" t="s">
        <v>418</v>
      </c>
    </row>
    <row r="25" spans="2:22" ht="15.75" customHeight="1" x14ac:dyDescent="0.2">
      <c r="B25" s="3" t="s">
        <v>33</v>
      </c>
      <c r="C25" s="46">
        <v>700</v>
      </c>
      <c r="D25" s="43"/>
      <c r="E25" s="54" t="s">
        <v>32</v>
      </c>
      <c r="F25" s="55">
        <f>C24-J22</f>
        <v>55.019999999999982</v>
      </c>
      <c r="G25" s="134">
        <f>SUM(Tabela61516612182532394653[[#This Row],[Valores]]+Tabela6151661218253239[[#This Row],[Acumulado]])</f>
        <v>681.29</v>
      </c>
      <c r="H25" s="2"/>
      <c r="I25" s="6" t="s">
        <v>19</v>
      </c>
      <c r="J25" s="79">
        <f>SUMIFS(Q3:Q147,P3:P147,"Nesco")</f>
        <v>31.9</v>
      </c>
      <c r="K25" s="334"/>
      <c r="L25" s="334"/>
      <c r="M25" s="334"/>
      <c r="N25" s="334"/>
      <c r="P25" s="6" t="s">
        <v>50</v>
      </c>
      <c r="Q25" s="138">
        <v>35.26</v>
      </c>
      <c r="R25" s="5">
        <v>46061</v>
      </c>
      <c r="S25" s="263" t="s">
        <v>474</v>
      </c>
      <c r="T25" s="8"/>
    </row>
    <row r="26" spans="2:22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C25-J23+400</f>
        <v>26.416666666666515</v>
      </c>
      <c r="G26" s="134">
        <f>Tabela61516612182532394653[[#This Row],[Valores]]</f>
        <v>26.416666666666515</v>
      </c>
      <c r="H26" s="2"/>
      <c r="I26" s="6" t="s">
        <v>21</v>
      </c>
      <c r="J26" s="79">
        <f>SUMIFS(Q3:Q147,P3:P147,"Gasolina / Óleo")</f>
        <v>132.71</v>
      </c>
      <c r="P26" s="93" t="s">
        <v>33</v>
      </c>
      <c r="Q26" s="137">
        <v>16</v>
      </c>
      <c r="R26" s="5">
        <v>46062</v>
      </c>
      <c r="S26" s="169" t="s">
        <v>475</v>
      </c>
      <c r="T26" s="175"/>
    </row>
    <row r="27" spans="2:22" ht="15.75" customHeight="1" x14ac:dyDescent="0.2">
      <c r="B27" s="13" t="s">
        <v>35</v>
      </c>
      <c r="C27" s="46">
        <f>C16-SUM(C23:C26)-SUM(C28:C32)</f>
        <v>2034.5699999999997</v>
      </c>
      <c r="D27" s="43"/>
      <c r="E27" s="54" t="s">
        <v>34</v>
      </c>
      <c r="F27" s="55">
        <f>C26-J24</f>
        <v>29.099999999999994</v>
      </c>
      <c r="G27" s="134">
        <f>SUM(Tabela61516612182532394653[[#This Row],[Valores]]+Tabela6151661218253239[[#This Row],[Acumulado]])</f>
        <v>239.21</v>
      </c>
      <c r="H27" s="2"/>
      <c r="I27" s="6" t="s">
        <v>50</v>
      </c>
      <c r="J27" s="79">
        <f>SUMIFS(Q3:Q147,P3:P147,"Compras do Mês")</f>
        <v>1017.85</v>
      </c>
      <c r="P27" s="6" t="s">
        <v>50</v>
      </c>
      <c r="Q27" s="137">
        <v>17.98</v>
      </c>
      <c r="R27" s="5">
        <v>46062</v>
      </c>
      <c r="S27" s="169" t="s">
        <v>474</v>
      </c>
      <c r="T27" s="175"/>
    </row>
    <row r="28" spans="2:22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-38.58499999999998</v>
      </c>
      <c r="G28" s="134">
        <f>Tabela61516612182532394653[[#This Row],[Valores]]</f>
        <v>-38.58499999999998</v>
      </c>
      <c r="H28" s="2"/>
      <c r="I28" s="6" t="s">
        <v>35</v>
      </c>
      <c r="J28" s="79">
        <f>SUMIFS(Q3:Q147,P3:P147,"Extras")</f>
        <v>1018.9100000000005</v>
      </c>
      <c r="P28" s="93" t="s">
        <v>58</v>
      </c>
      <c r="Q28" s="137">
        <v>10</v>
      </c>
      <c r="R28" s="5">
        <v>46062</v>
      </c>
      <c r="S28" s="169" t="s">
        <v>476</v>
      </c>
      <c r="T28" s="175"/>
    </row>
    <row r="29" spans="2:22" ht="15.75" customHeight="1" x14ac:dyDescent="0.2">
      <c r="B29" s="12" t="s">
        <v>21</v>
      </c>
      <c r="C29" s="48">
        <v>200</v>
      </c>
      <c r="D29" s="43"/>
      <c r="E29" s="56" t="s">
        <v>58</v>
      </c>
      <c r="F29" s="57">
        <f>C32-J30</f>
        <v>-12.314999999999998</v>
      </c>
      <c r="G29" s="134">
        <f>Tabela61516612182532394653[[#This Row],[Valores]]</f>
        <v>-12.314999999999998</v>
      </c>
      <c r="H29" s="2"/>
      <c r="I29" s="6" t="s">
        <v>59</v>
      </c>
      <c r="J29" s="81">
        <f>SUMIFS(Q3:Q147,P3:P147,"Bobeirinhas V")</f>
        <v>338.58499999999998</v>
      </c>
      <c r="P29" s="147" t="s">
        <v>35</v>
      </c>
      <c r="Q29" s="138">
        <f>12.02+6.73</f>
        <v>18.75</v>
      </c>
      <c r="R29" s="5">
        <v>46062</v>
      </c>
      <c r="S29" s="263" t="s">
        <v>52</v>
      </c>
      <c r="T29" s="8"/>
    </row>
    <row r="30" spans="2:22" ht="15.75" customHeight="1" x14ac:dyDescent="0.2">
      <c r="B30" s="13" t="s">
        <v>50</v>
      </c>
      <c r="C30" s="47">
        <f>800</f>
        <v>800</v>
      </c>
      <c r="D30" s="43"/>
      <c r="E30" s="58" t="s">
        <v>35</v>
      </c>
      <c r="F30" s="59">
        <f>C27-J28-720-400</f>
        <v>-104.34000000000083</v>
      </c>
      <c r="G30" s="134">
        <f>Tabela61516612182532394653[[#This Row],[Valores]]</f>
        <v>-104.34000000000083</v>
      </c>
      <c r="H30" s="2"/>
      <c r="I30" s="9" t="s">
        <v>58</v>
      </c>
      <c r="J30" s="80">
        <f>SUMIFS(Q3:Q147,P3:P147,"Bobeirinhas J")</f>
        <v>312.315</v>
      </c>
      <c r="L30" s="69"/>
      <c r="P30" s="240" t="s">
        <v>35</v>
      </c>
      <c r="Q30" s="240">
        <v>48.49</v>
      </c>
      <c r="R30" s="241">
        <v>46062</v>
      </c>
      <c r="S30" s="242" t="s">
        <v>233</v>
      </c>
      <c r="T30" s="247" t="s">
        <v>418</v>
      </c>
    </row>
    <row r="31" spans="2:22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28.1</v>
      </c>
      <c r="G31" s="134">
        <f>SUM(Tabela61516612182532394653[[#This Row],[Valores]]+Tabela6151661218253239[[#This Row],[Acumulado]])</f>
        <v>77.75</v>
      </c>
      <c r="H31" s="2"/>
      <c r="J31" s="96"/>
      <c r="N31" s="96"/>
      <c r="P31" s="93" t="s">
        <v>35</v>
      </c>
      <c r="Q31" s="137">
        <f>6.28+7.32</f>
        <v>13.600000000000001</v>
      </c>
      <c r="R31" s="5">
        <v>46063</v>
      </c>
      <c r="S31" s="263" t="s">
        <v>52</v>
      </c>
      <c r="T31" s="175"/>
    </row>
    <row r="32" spans="2:22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67.289999999999992</v>
      </c>
      <c r="G32" s="134">
        <f>Tabela61516612182532394653[[#This Row],[Valores]]</f>
        <v>67.289999999999992</v>
      </c>
      <c r="H32" s="2"/>
      <c r="J32" s="37"/>
      <c r="P32" s="93" t="s">
        <v>35</v>
      </c>
      <c r="Q32" s="137">
        <v>100</v>
      </c>
      <c r="R32" s="5">
        <v>46063</v>
      </c>
      <c r="S32" s="169" t="s">
        <v>483</v>
      </c>
      <c r="T32" s="175"/>
    </row>
    <row r="33" spans="2:22" ht="15.75" customHeight="1" x14ac:dyDescent="0.2">
      <c r="B33" s="73"/>
      <c r="C33" s="74"/>
      <c r="D33" s="43"/>
      <c r="E33" s="58" t="s">
        <v>50</v>
      </c>
      <c r="F33" s="61">
        <f>C30-J27</f>
        <v>-217.85000000000002</v>
      </c>
      <c r="G33" s="134">
        <f>Tabela61516612182532394653[[#This Row],[Valores]]</f>
        <v>-217.85000000000002</v>
      </c>
      <c r="H33" s="2"/>
      <c r="J33" s="354" t="s">
        <v>462</v>
      </c>
      <c r="K33" s="354"/>
      <c r="L33" s="354"/>
      <c r="M33" s="354"/>
      <c r="N33" s="354"/>
      <c r="P33" s="36" t="s">
        <v>50</v>
      </c>
      <c r="Q33" s="137">
        <v>14.9</v>
      </c>
      <c r="R33" s="5">
        <v>46063</v>
      </c>
      <c r="S33" s="169" t="s">
        <v>488</v>
      </c>
      <c r="T33" s="231"/>
    </row>
    <row r="34" spans="2:22" ht="15.75" customHeight="1" x14ac:dyDescent="0.35">
      <c r="B34" s="44"/>
      <c r="C34" s="72">
        <f>SUM(C24:C32)</f>
        <v>4794.57</v>
      </c>
      <c r="D34" s="43"/>
      <c r="E34" s="43"/>
      <c r="F34" s="43"/>
      <c r="G34" s="141"/>
      <c r="H34" s="2"/>
      <c r="I34" s="155"/>
      <c r="J34" s="353" t="s">
        <v>460</v>
      </c>
      <c r="K34" s="353"/>
      <c r="L34" s="353"/>
      <c r="M34" s="353"/>
      <c r="N34" s="353"/>
      <c r="P34" s="36" t="s">
        <v>50</v>
      </c>
      <c r="Q34" s="137">
        <v>9.8800000000000008</v>
      </c>
      <c r="R34" s="5">
        <v>46064</v>
      </c>
      <c r="S34" s="169" t="s">
        <v>474</v>
      </c>
      <c r="T34" s="231"/>
    </row>
    <row r="35" spans="2:22" ht="15.75" customHeight="1" x14ac:dyDescent="0.2">
      <c r="B35" s="37"/>
      <c r="C35" s="37"/>
      <c r="D35" s="37"/>
      <c r="E35" s="76" t="s">
        <v>79</v>
      </c>
      <c r="F35" s="77">
        <f>SUM(F24:F30)</f>
        <v>-44.703333333334314</v>
      </c>
      <c r="G35" s="70"/>
      <c r="J35" s="353" t="s">
        <v>461</v>
      </c>
      <c r="K35" s="353"/>
      <c r="L35" s="353"/>
      <c r="M35" s="353"/>
      <c r="N35" s="353"/>
      <c r="P35" s="253" t="s">
        <v>19</v>
      </c>
      <c r="Q35" s="240">
        <v>31.9</v>
      </c>
      <c r="R35" s="241">
        <v>46064</v>
      </c>
      <c r="S35" s="242" t="s">
        <v>478</v>
      </c>
      <c r="T35" s="247" t="s">
        <v>418</v>
      </c>
    </row>
    <row r="36" spans="2:22" ht="15.75" customHeight="1" x14ac:dyDescent="0.2">
      <c r="C36" s="69"/>
      <c r="F36" s="69"/>
      <c r="P36" s="253" t="s">
        <v>35</v>
      </c>
      <c r="Q36" s="240">
        <v>280</v>
      </c>
      <c r="R36" s="241">
        <v>46064</v>
      </c>
      <c r="S36" s="242" t="s">
        <v>479</v>
      </c>
      <c r="T36" s="247" t="s">
        <v>418</v>
      </c>
      <c r="U36" s="230"/>
      <c r="V36" s="230"/>
    </row>
    <row r="37" spans="2:22" ht="12.75" customHeight="1" x14ac:dyDescent="0.2">
      <c r="F37" s="69"/>
      <c r="P37" s="93" t="s">
        <v>35</v>
      </c>
      <c r="Q37" s="137">
        <f>9.22+7.02</f>
        <v>16.240000000000002</v>
      </c>
      <c r="R37" s="5">
        <v>46064</v>
      </c>
      <c r="S37" s="263" t="s">
        <v>52</v>
      </c>
      <c r="T37" s="175"/>
      <c r="U37" s="230"/>
      <c r="V37" s="230"/>
    </row>
    <row r="38" spans="2:22" ht="13.5" customHeight="1" x14ac:dyDescent="0.2">
      <c r="B38" s="351" t="s">
        <v>416</v>
      </c>
      <c r="C38" s="352"/>
      <c r="I38" s="69"/>
      <c r="P38" s="93" t="s">
        <v>59</v>
      </c>
      <c r="Q38" s="137">
        <v>19.8</v>
      </c>
      <c r="R38" s="5">
        <v>46064</v>
      </c>
      <c r="S38" s="169" t="s">
        <v>484</v>
      </c>
      <c r="T38" s="175"/>
      <c r="U38" s="230"/>
      <c r="V38" s="230"/>
    </row>
    <row r="39" spans="2:22" ht="15.75" customHeight="1" x14ac:dyDescent="0.2">
      <c r="B39" s="237" t="s">
        <v>419</v>
      </c>
      <c r="C39" s="238">
        <f>SUMIFS(Q3:Q147,Tabela171114192633404754[Método],"LATAM")</f>
        <v>1539.11</v>
      </c>
      <c r="E39" s="69"/>
      <c r="F39" s="69"/>
      <c r="G39" s="69">
        <f>SUM(G25:G33)</f>
        <v>718.86666666666554</v>
      </c>
      <c r="I39" s="69"/>
      <c r="P39" s="93" t="s">
        <v>59</v>
      </c>
      <c r="Q39" s="137">
        <v>13</v>
      </c>
      <c r="R39" s="5">
        <v>46064</v>
      </c>
      <c r="S39" s="169" t="s">
        <v>484</v>
      </c>
      <c r="T39" s="175"/>
      <c r="U39" s="230"/>
      <c r="V39" s="230"/>
    </row>
    <row r="40" spans="2:22" ht="15.75" customHeight="1" x14ac:dyDescent="0.2">
      <c r="G40">
        <f>42+233-193+92-10.78-28.69-8.19-28.38</f>
        <v>97.960000000000008</v>
      </c>
      <c r="P40" s="36" t="s">
        <v>50</v>
      </c>
      <c r="Q40" s="137">
        <v>40.71</v>
      </c>
      <c r="R40" s="5">
        <v>46064</v>
      </c>
      <c r="S40" s="169" t="s">
        <v>487</v>
      </c>
      <c r="T40" s="175"/>
    </row>
    <row r="41" spans="2:22" ht="15.75" customHeight="1" x14ac:dyDescent="0.2">
      <c r="G41" s="69">
        <f>G39-G40</f>
        <v>620.9066666666655</v>
      </c>
      <c r="P41" s="93" t="s">
        <v>58</v>
      </c>
      <c r="Q41" s="137">
        <v>16</v>
      </c>
      <c r="R41" s="5">
        <v>46065</v>
      </c>
      <c r="S41" s="169" t="s">
        <v>473</v>
      </c>
      <c r="T41" s="175"/>
    </row>
    <row r="42" spans="2:22" ht="15.75" customHeight="1" x14ac:dyDescent="0.2">
      <c r="C42">
        <f>1536.11+2917.9+1106.92</f>
        <v>5560.93</v>
      </c>
      <c r="P42" s="93" t="s">
        <v>35</v>
      </c>
      <c r="Q42" s="137">
        <f>7.94+7.95</f>
        <v>15.89</v>
      </c>
      <c r="R42" s="5">
        <v>46065</v>
      </c>
      <c r="S42" s="263" t="s">
        <v>52</v>
      </c>
      <c r="T42" s="175"/>
    </row>
    <row r="43" spans="2:22" ht="15.75" customHeight="1" x14ac:dyDescent="0.2">
      <c r="C43" s="69">
        <f>C39+10</f>
        <v>1549.11</v>
      </c>
      <c r="P43" s="93" t="s">
        <v>59</v>
      </c>
      <c r="Q43" s="137">
        <v>12.99</v>
      </c>
      <c r="R43" s="5">
        <v>46065</v>
      </c>
      <c r="S43" s="169" t="s">
        <v>485</v>
      </c>
      <c r="T43" s="175"/>
    </row>
    <row r="44" spans="2:22" ht="15.75" customHeight="1" x14ac:dyDescent="0.2">
      <c r="P44" s="93" t="s">
        <v>35</v>
      </c>
      <c r="Q44" s="137">
        <f>-200+156.86</f>
        <v>-43.139999999999986</v>
      </c>
      <c r="R44" s="5">
        <v>46065</v>
      </c>
      <c r="S44" s="169" t="s">
        <v>486</v>
      </c>
      <c r="T44" s="175"/>
    </row>
    <row r="45" spans="2:22" ht="15.75" customHeight="1" x14ac:dyDescent="0.2">
      <c r="P45" s="93" t="s">
        <v>58</v>
      </c>
      <c r="Q45" s="137">
        <v>20</v>
      </c>
      <c r="R45" s="5">
        <v>46066</v>
      </c>
      <c r="S45" s="169" t="s">
        <v>268</v>
      </c>
      <c r="T45" s="175"/>
      <c r="V45" s="51"/>
    </row>
    <row r="46" spans="2:22" ht="15" customHeight="1" x14ac:dyDescent="0.2">
      <c r="N46" s="96"/>
      <c r="P46" s="253" t="s">
        <v>33</v>
      </c>
      <c r="Q46" s="240">
        <v>191.31</v>
      </c>
      <c r="R46" s="241">
        <v>46066</v>
      </c>
      <c r="S46" s="242" t="s">
        <v>477</v>
      </c>
      <c r="T46" s="247" t="s">
        <v>418</v>
      </c>
      <c r="U46" s="51"/>
      <c r="V46" s="51"/>
    </row>
    <row r="47" spans="2:22" ht="15.75" customHeight="1" x14ac:dyDescent="0.2">
      <c r="O47" s="96"/>
      <c r="P47" s="93" t="s">
        <v>35</v>
      </c>
      <c r="Q47" s="137">
        <v>7.94</v>
      </c>
      <c r="R47" s="5">
        <v>46066</v>
      </c>
      <c r="S47" s="263" t="s">
        <v>52</v>
      </c>
      <c r="T47" s="175"/>
    </row>
    <row r="48" spans="2:22" ht="15.75" customHeight="1" x14ac:dyDescent="0.2">
      <c r="P48" s="93" t="s">
        <v>59</v>
      </c>
      <c r="Q48" s="137">
        <v>44.9</v>
      </c>
      <c r="R48" s="5">
        <v>46066</v>
      </c>
      <c r="S48" s="169" t="s">
        <v>297</v>
      </c>
      <c r="T48" s="175"/>
    </row>
    <row r="49" spans="13:20" ht="15.75" customHeight="1" x14ac:dyDescent="0.2">
      <c r="P49" s="240" t="s">
        <v>35</v>
      </c>
      <c r="Q49" s="240">
        <v>62</v>
      </c>
      <c r="R49" s="241">
        <v>46067</v>
      </c>
      <c r="S49" s="242" t="s">
        <v>491</v>
      </c>
      <c r="T49" s="247" t="s">
        <v>418</v>
      </c>
    </row>
    <row r="50" spans="13:20" ht="15.75" customHeight="1" x14ac:dyDescent="0.2">
      <c r="P50" s="253" t="s">
        <v>50</v>
      </c>
      <c r="Q50" s="240">
        <v>232.51</v>
      </c>
      <c r="R50" s="241">
        <v>46067</v>
      </c>
      <c r="S50" s="242" t="s">
        <v>492</v>
      </c>
      <c r="T50" s="247" t="s">
        <v>418</v>
      </c>
    </row>
    <row r="51" spans="13:20" ht="15.75" customHeight="1" x14ac:dyDescent="0.2">
      <c r="P51" s="253" t="s">
        <v>33</v>
      </c>
      <c r="Q51" s="240">
        <v>61.84</v>
      </c>
      <c r="R51" s="241">
        <v>46067</v>
      </c>
      <c r="S51" s="242" t="s">
        <v>493</v>
      </c>
      <c r="T51" s="247" t="s">
        <v>418</v>
      </c>
    </row>
    <row r="52" spans="13:20" ht="15.75" customHeight="1" x14ac:dyDescent="0.2">
      <c r="P52" s="93" t="s">
        <v>33</v>
      </c>
      <c r="Q52" s="137">
        <v>40</v>
      </c>
      <c r="R52" s="5">
        <v>46067</v>
      </c>
      <c r="S52" s="169" t="s">
        <v>496</v>
      </c>
      <c r="T52" s="175"/>
    </row>
    <row r="53" spans="13:20" ht="15.75" customHeight="1" x14ac:dyDescent="0.2">
      <c r="P53" s="93" t="s">
        <v>50</v>
      </c>
      <c r="Q53" s="137">
        <v>10.89</v>
      </c>
      <c r="R53" s="5">
        <v>46067</v>
      </c>
      <c r="S53" s="169" t="s">
        <v>206</v>
      </c>
      <c r="T53" s="175"/>
    </row>
    <row r="54" spans="13:20" ht="15.75" customHeight="1" x14ac:dyDescent="0.2">
      <c r="P54" s="93" t="s">
        <v>58</v>
      </c>
      <c r="Q54" s="137">
        <v>23.99</v>
      </c>
      <c r="R54" s="5">
        <v>46068</v>
      </c>
      <c r="S54" s="169" t="s">
        <v>494</v>
      </c>
      <c r="T54" s="175"/>
    </row>
    <row r="55" spans="13:20" ht="15.75" customHeight="1" x14ac:dyDescent="0.2">
      <c r="P55" s="93" t="s">
        <v>33</v>
      </c>
      <c r="Q55" s="137">
        <v>15.5</v>
      </c>
      <c r="R55" s="5">
        <v>46068</v>
      </c>
      <c r="S55" s="169" t="s">
        <v>495</v>
      </c>
      <c r="T55" s="175"/>
    </row>
    <row r="56" spans="13:20" ht="15.75" customHeight="1" x14ac:dyDescent="0.2">
      <c r="P56" s="253" t="s">
        <v>21</v>
      </c>
      <c r="Q56" s="240">
        <v>61.4</v>
      </c>
      <c r="R56" s="241">
        <v>46068</v>
      </c>
      <c r="S56" s="242" t="s">
        <v>67</v>
      </c>
      <c r="T56" s="247" t="s">
        <v>418</v>
      </c>
    </row>
    <row r="57" spans="13:20" ht="15.75" customHeight="1" x14ac:dyDescent="0.2">
      <c r="P57" s="93" t="s">
        <v>33</v>
      </c>
      <c r="Q57" s="137">
        <v>23.99</v>
      </c>
      <c r="R57" s="5">
        <v>46069</v>
      </c>
      <c r="S57" s="169" t="s">
        <v>210</v>
      </c>
      <c r="T57" s="175"/>
    </row>
    <row r="58" spans="13:20" ht="15.75" customHeight="1" x14ac:dyDescent="0.2">
      <c r="P58" s="93" t="s">
        <v>33</v>
      </c>
      <c r="Q58" s="137">
        <f>13+((110/3)*2)</f>
        <v>86.333333333333329</v>
      </c>
      <c r="R58" s="5">
        <v>46069</v>
      </c>
      <c r="S58" s="169" t="s">
        <v>497</v>
      </c>
      <c r="T58" s="175"/>
    </row>
    <row r="59" spans="13:20" ht="15.75" customHeight="1" x14ac:dyDescent="0.2">
      <c r="P59" s="93" t="s">
        <v>58</v>
      </c>
      <c r="Q59" s="137">
        <v>23.5</v>
      </c>
      <c r="R59" s="5">
        <v>46071</v>
      </c>
      <c r="S59" s="169" t="s">
        <v>503</v>
      </c>
      <c r="T59" s="175"/>
    </row>
    <row r="60" spans="13:20" ht="15.75" customHeight="1" x14ac:dyDescent="0.2">
      <c r="M60" t="s">
        <v>39</v>
      </c>
      <c r="O60" t="s">
        <v>39</v>
      </c>
      <c r="P60" s="93" t="s">
        <v>58</v>
      </c>
      <c r="Q60" s="137">
        <v>22</v>
      </c>
      <c r="R60" s="5">
        <v>46071</v>
      </c>
      <c r="S60" s="169" t="s">
        <v>504</v>
      </c>
      <c r="T60" s="175"/>
    </row>
    <row r="61" spans="13:20" ht="15.75" customHeight="1" x14ac:dyDescent="0.2">
      <c r="P61" s="93" t="s">
        <v>58</v>
      </c>
      <c r="Q61" s="137">
        <v>10.7</v>
      </c>
      <c r="R61" s="5">
        <v>46071</v>
      </c>
      <c r="S61" s="169" t="s">
        <v>505</v>
      </c>
      <c r="T61" s="175"/>
    </row>
    <row r="62" spans="13:20" ht="15.75" customHeight="1" x14ac:dyDescent="0.2">
      <c r="P62" s="93" t="s">
        <v>33</v>
      </c>
      <c r="Q62" s="137">
        <v>15.5</v>
      </c>
      <c r="R62" s="5">
        <v>46071</v>
      </c>
      <c r="S62" s="169" t="s">
        <v>474</v>
      </c>
      <c r="T62" s="175"/>
    </row>
    <row r="63" spans="13:20" ht="15.75" customHeight="1" x14ac:dyDescent="0.2">
      <c r="P63" s="93" t="s">
        <v>50</v>
      </c>
      <c r="Q63" s="137">
        <f>102.19-14.49-4.8-3.49</f>
        <v>79.410000000000011</v>
      </c>
      <c r="R63" s="5">
        <v>46072</v>
      </c>
      <c r="S63" s="169" t="s">
        <v>220</v>
      </c>
      <c r="T63" s="175"/>
    </row>
    <row r="64" spans="13:20" ht="15.75" customHeight="1" x14ac:dyDescent="0.2">
      <c r="P64" s="93" t="s">
        <v>58</v>
      </c>
      <c r="Q64" s="137">
        <v>14.49</v>
      </c>
      <c r="R64" s="5">
        <v>46072</v>
      </c>
      <c r="S64" s="169" t="s">
        <v>499</v>
      </c>
      <c r="T64" s="175"/>
    </row>
    <row r="65" spans="14:20" ht="15.75" customHeight="1" x14ac:dyDescent="0.2">
      <c r="P65" s="93" t="s">
        <v>59</v>
      </c>
      <c r="Q65" s="137">
        <f>4.8+3.49</f>
        <v>8.2899999999999991</v>
      </c>
      <c r="R65" s="5">
        <v>46072</v>
      </c>
      <c r="S65" s="169" t="s">
        <v>500</v>
      </c>
      <c r="T65" s="175"/>
    </row>
    <row r="66" spans="14:20" ht="15.75" customHeight="1" x14ac:dyDescent="0.2">
      <c r="P66" s="93" t="s">
        <v>35</v>
      </c>
      <c r="Q66" s="137">
        <v>7.94</v>
      </c>
      <c r="R66" s="5">
        <v>46072</v>
      </c>
      <c r="S66" s="169" t="s">
        <v>209</v>
      </c>
      <c r="T66" s="175"/>
    </row>
    <row r="67" spans="14:20" ht="15.75" customHeight="1" x14ac:dyDescent="0.2">
      <c r="N67" s="69"/>
      <c r="P67" s="93" t="s">
        <v>35</v>
      </c>
      <c r="Q67" s="137">
        <v>7.94</v>
      </c>
      <c r="R67" s="5">
        <v>46072</v>
      </c>
      <c r="S67" s="169" t="s">
        <v>209</v>
      </c>
      <c r="T67" s="175"/>
    </row>
    <row r="68" spans="14:20" ht="15.75" customHeight="1" x14ac:dyDescent="0.2">
      <c r="P68" s="93" t="s">
        <v>59</v>
      </c>
      <c r="Q68" s="137">
        <v>8.19</v>
      </c>
      <c r="R68" s="5">
        <v>46073</v>
      </c>
      <c r="S68" s="169" t="s">
        <v>498</v>
      </c>
      <c r="T68" s="175"/>
    </row>
    <row r="69" spans="14:20" ht="15.75" customHeight="1" x14ac:dyDescent="0.2">
      <c r="N69" s="69"/>
      <c r="P69" s="93" t="s">
        <v>58</v>
      </c>
      <c r="Q69" s="137">
        <f>5*1.99</f>
        <v>9.9499999999999993</v>
      </c>
      <c r="R69" s="5">
        <v>46073</v>
      </c>
      <c r="S69" s="169" t="s">
        <v>455</v>
      </c>
      <c r="T69" s="175"/>
    </row>
    <row r="70" spans="14:20" ht="15.75" customHeight="1" x14ac:dyDescent="0.2">
      <c r="P70" s="93" t="s">
        <v>59</v>
      </c>
      <c r="Q70" s="137">
        <f>5*1.99+4.64</f>
        <v>14.59</v>
      </c>
      <c r="R70" s="5">
        <v>46073</v>
      </c>
      <c r="S70" s="169" t="s">
        <v>501</v>
      </c>
      <c r="T70" s="175"/>
    </row>
    <row r="71" spans="14:20" ht="15.75" customHeight="1" x14ac:dyDescent="0.2">
      <c r="P71" s="93" t="s">
        <v>35</v>
      </c>
      <c r="Q71" s="137">
        <v>7.95</v>
      </c>
      <c r="R71" s="5">
        <v>46073</v>
      </c>
      <c r="S71" s="169" t="s">
        <v>209</v>
      </c>
      <c r="T71" s="175"/>
    </row>
    <row r="72" spans="14:20" ht="15.75" customHeight="1" x14ac:dyDescent="0.2">
      <c r="P72" s="93" t="s">
        <v>35</v>
      </c>
      <c r="Q72" s="137">
        <v>7.95</v>
      </c>
      <c r="R72" s="5">
        <v>46073</v>
      </c>
      <c r="S72" s="169" t="s">
        <v>209</v>
      </c>
      <c r="T72" s="175"/>
    </row>
    <row r="73" spans="14:20" ht="15.75" customHeight="1" x14ac:dyDescent="0.2">
      <c r="P73" s="93" t="s">
        <v>58</v>
      </c>
      <c r="Q73" s="137">
        <v>72.5</v>
      </c>
      <c r="R73" s="5">
        <v>46073</v>
      </c>
      <c r="S73" s="169" t="s">
        <v>506</v>
      </c>
      <c r="T73" s="175"/>
    </row>
    <row r="74" spans="14:20" ht="15.75" customHeight="1" x14ac:dyDescent="0.2">
      <c r="P74" s="93" t="s">
        <v>35</v>
      </c>
      <c r="Q74" s="137">
        <v>10</v>
      </c>
      <c r="R74" s="5">
        <v>46073</v>
      </c>
      <c r="S74" s="169" t="s">
        <v>502</v>
      </c>
      <c r="T74" s="175"/>
    </row>
    <row r="75" spans="14:20" ht="15.75" customHeight="1" x14ac:dyDescent="0.2">
      <c r="P75" s="93" t="s">
        <v>32</v>
      </c>
      <c r="Q75" s="137">
        <v>80</v>
      </c>
      <c r="R75" s="5">
        <v>46074</v>
      </c>
      <c r="S75" s="169" t="s">
        <v>507</v>
      </c>
      <c r="T75" s="175"/>
    </row>
    <row r="76" spans="14:20" ht="15.75" customHeight="1" x14ac:dyDescent="0.2">
      <c r="P76" s="93" t="s">
        <v>35</v>
      </c>
      <c r="Q76" s="137">
        <v>25</v>
      </c>
      <c r="R76" s="5">
        <v>46074</v>
      </c>
      <c r="S76" s="169" t="s">
        <v>508</v>
      </c>
      <c r="T76" s="175"/>
    </row>
    <row r="77" spans="14:20" ht="15.75" customHeight="1" x14ac:dyDescent="0.2">
      <c r="P77" s="93" t="s">
        <v>50</v>
      </c>
      <c r="Q77" s="137">
        <v>28.38</v>
      </c>
      <c r="R77" s="5">
        <v>46074</v>
      </c>
      <c r="S77" s="169" t="s">
        <v>457</v>
      </c>
      <c r="T77" s="175"/>
    </row>
    <row r="78" spans="14:20" ht="15.75" customHeight="1" x14ac:dyDescent="0.2">
      <c r="P78" s="93" t="s">
        <v>59</v>
      </c>
      <c r="Q78" s="137">
        <v>12</v>
      </c>
      <c r="R78" s="5">
        <v>46075</v>
      </c>
      <c r="S78" s="169" t="s">
        <v>509</v>
      </c>
      <c r="T78" s="175"/>
    </row>
    <row r="79" spans="14:20" ht="15.75" customHeight="1" x14ac:dyDescent="0.2">
      <c r="P79" s="253" t="s">
        <v>50</v>
      </c>
      <c r="Q79" s="240">
        <v>134.29</v>
      </c>
      <c r="R79" s="241">
        <v>46075</v>
      </c>
      <c r="S79" s="242" t="s">
        <v>513</v>
      </c>
      <c r="T79" s="247" t="s">
        <v>418</v>
      </c>
    </row>
    <row r="80" spans="14:20" ht="15.75" customHeight="1" x14ac:dyDescent="0.2">
      <c r="P80" s="253" t="s">
        <v>59</v>
      </c>
      <c r="Q80" s="240">
        <f>58.37/2</f>
        <v>29.184999999999999</v>
      </c>
      <c r="R80" s="241">
        <v>46075</v>
      </c>
      <c r="S80" s="242" t="s">
        <v>514</v>
      </c>
      <c r="T80" s="247" t="s">
        <v>418</v>
      </c>
    </row>
    <row r="81" spans="14:20" ht="15.75" customHeight="1" x14ac:dyDescent="0.2">
      <c r="P81" s="253" t="s">
        <v>58</v>
      </c>
      <c r="Q81" s="240">
        <f>Q80</f>
        <v>29.184999999999999</v>
      </c>
      <c r="R81" s="241">
        <v>46075</v>
      </c>
      <c r="S81" s="242" t="s">
        <v>514</v>
      </c>
      <c r="T81" s="247" t="s">
        <v>418</v>
      </c>
    </row>
    <row r="82" spans="14:20" ht="15.75" customHeight="1" x14ac:dyDescent="0.2">
      <c r="P82" s="93" t="s">
        <v>50</v>
      </c>
      <c r="Q82" s="137">
        <v>7.98</v>
      </c>
      <c r="R82" s="5">
        <v>46075</v>
      </c>
      <c r="S82" s="169" t="s">
        <v>515</v>
      </c>
      <c r="T82" s="175"/>
    </row>
    <row r="83" spans="14:20" ht="15.75" customHeight="1" x14ac:dyDescent="0.2">
      <c r="P83" s="93" t="s">
        <v>35</v>
      </c>
      <c r="Q83" s="137">
        <v>7.95</v>
      </c>
      <c r="R83" s="5">
        <v>46076</v>
      </c>
      <c r="S83" s="169" t="s">
        <v>209</v>
      </c>
      <c r="T83" s="175"/>
    </row>
    <row r="84" spans="14:20" ht="15.75" customHeight="1" x14ac:dyDescent="0.2">
      <c r="P84" s="93" t="s">
        <v>35</v>
      </c>
      <c r="Q84" s="137">
        <v>30</v>
      </c>
      <c r="R84" s="5">
        <v>46076</v>
      </c>
      <c r="S84" s="169" t="s">
        <v>510</v>
      </c>
      <c r="T84" s="175"/>
    </row>
    <row r="85" spans="14:20" ht="15.75" customHeight="1" x14ac:dyDescent="0.2">
      <c r="P85" s="93" t="s">
        <v>35</v>
      </c>
      <c r="Q85" s="137">
        <v>7.94</v>
      </c>
      <c r="R85" s="5">
        <v>46076</v>
      </c>
      <c r="S85" s="169" t="s">
        <v>209</v>
      </c>
      <c r="T85" s="175"/>
    </row>
    <row r="86" spans="14:20" ht="15.75" customHeight="1" x14ac:dyDescent="0.2">
      <c r="P86" s="93" t="s">
        <v>58</v>
      </c>
      <c r="Q86" s="137">
        <v>10</v>
      </c>
      <c r="R86" s="5">
        <v>46076</v>
      </c>
      <c r="S86" s="169" t="s">
        <v>476</v>
      </c>
      <c r="T86" s="175"/>
    </row>
    <row r="87" spans="14:20" ht="15.75" customHeight="1" x14ac:dyDescent="0.2">
      <c r="P87" s="93" t="s">
        <v>35</v>
      </c>
      <c r="Q87" s="137">
        <v>7.96</v>
      </c>
      <c r="R87" s="5">
        <v>46077</v>
      </c>
      <c r="S87" s="169" t="s">
        <v>209</v>
      </c>
      <c r="T87" s="175"/>
    </row>
    <row r="88" spans="14:20" ht="15.75" customHeight="1" x14ac:dyDescent="0.2">
      <c r="N88" s="69"/>
      <c r="P88" s="93" t="s">
        <v>35</v>
      </c>
      <c r="Q88" s="137">
        <v>7.96</v>
      </c>
      <c r="R88" s="5">
        <v>46077</v>
      </c>
      <c r="S88" s="169" t="s">
        <v>209</v>
      </c>
      <c r="T88" s="175"/>
    </row>
    <row r="89" spans="14:20" ht="15.75" customHeight="1" x14ac:dyDescent="0.2">
      <c r="P89" s="93" t="s">
        <v>34</v>
      </c>
      <c r="Q89" s="137">
        <v>15</v>
      </c>
      <c r="R89" s="5">
        <v>46077</v>
      </c>
      <c r="S89" s="169" t="s">
        <v>511</v>
      </c>
      <c r="T89" s="175"/>
    </row>
    <row r="90" spans="14:20" ht="15.75" customHeight="1" x14ac:dyDescent="0.2">
      <c r="P90" s="93" t="s">
        <v>50</v>
      </c>
      <c r="Q90" s="137">
        <v>28.69</v>
      </c>
      <c r="R90" s="5">
        <v>46077</v>
      </c>
      <c r="S90" s="169" t="s">
        <v>512</v>
      </c>
      <c r="T90" s="175"/>
    </row>
    <row r="91" spans="14:20" ht="15.75" customHeight="1" x14ac:dyDescent="0.2">
      <c r="P91" s="93" t="s">
        <v>35</v>
      </c>
      <c r="Q91" s="137">
        <v>7.93</v>
      </c>
      <c r="R91" s="5">
        <v>46078</v>
      </c>
      <c r="S91" s="169" t="s">
        <v>209</v>
      </c>
      <c r="T91" s="175"/>
    </row>
    <row r="92" spans="14:20" ht="15.75" customHeight="1" x14ac:dyDescent="0.2">
      <c r="P92" s="93" t="s">
        <v>35</v>
      </c>
      <c r="Q92" s="137">
        <v>7.93</v>
      </c>
      <c r="R92" s="5">
        <v>46078</v>
      </c>
      <c r="S92" s="169" t="s">
        <v>209</v>
      </c>
      <c r="T92" s="175"/>
    </row>
    <row r="93" spans="14:20" ht="15.75" customHeight="1" x14ac:dyDescent="0.2">
      <c r="P93" s="93" t="s">
        <v>35</v>
      </c>
      <c r="Q93" s="137">
        <v>7.94</v>
      </c>
      <c r="R93" s="5">
        <v>46079</v>
      </c>
      <c r="S93" s="169" t="s">
        <v>209</v>
      </c>
      <c r="T93" s="175"/>
    </row>
    <row r="94" spans="14:20" ht="15.75" customHeight="1" x14ac:dyDescent="0.2">
      <c r="P94" s="93" t="s">
        <v>35</v>
      </c>
      <c r="Q94" s="137">
        <v>6.94</v>
      </c>
      <c r="R94" s="5">
        <v>46079</v>
      </c>
      <c r="S94" s="169" t="s">
        <v>209</v>
      </c>
      <c r="T94" s="175"/>
    </row>
    <row r="95" spans="14:20" ht="15.75" customHeight="1" x14ac:dyDescent="0.2">
      <c r="P95" s="93" t="s">
        <v>59</v>
      </c>
      <c r="Q95" s="137">
        <v>22.5</v>
      </c>
      <c r="R95" s="5">
        <v>46079</v>
      </c>
      <c r="S95" s="169" t="s">
        <v>509</v>
      </c>
      <c r="T95" s="175"/>
    </row>
    <row r="96" spans="14:20" ht="15.75" customHeight="1" x14ac:dyDescent="0.2">
      <c r="P96" s="93" t="s">
        <v>59</v>
      </c>
      <c r="Q96" s="137">
        <v>10.78</v>
      </c>
      <c r="R96" s="5">
        <v>46079</v>
      </c>
      <c r="S96" s="169" t="s">
        <v>509</v>
      </c>
      <c r="T96" s="175"/>
    </row>
    <row r="97" spans="16:20" ht="15.75" customHeight="1" x14ac:dyDescent="0.2">
      <c r="P97" s="93" t="s">
        <v>35</v>
      </c>
      <c r="Q97" s="137">
        <v>7.94</v>
      </c>
      <c r="R97" s="5">
        <v>46080</v>
      </c>
      <c r="S97" s="169" t="s">
        <v>52</v>
      </c>
      <c r="T97" s="175"/>
    </row>
    <row r="98" spans="16:20" ht="15.75" customHeight="1" x14ac:dyDescent="0.2">
      <c r="P98" s="93" t="s">
        <v>59</v>
      </c>
      <c r="Q98" s="137">
        <v>7.93</v>
      </c>
      <c r="R98" s="5">
        <v>46080</v>
      </c>
      <c r="S98" s="169" t="s">
        <v>52</v>
      </c>
      <c r="T98" s="175"/>
    </row>
    <row r="99" spans="16:20" ht="15.75" customHeight="1" x14ac:dyDescent="0.2">
      <c r="P99" s="93" t="s">
        <v>35</v>
      </c>
      <c r="Q99" s="137">
        <v>7.96</v>
      </c>
      <c r="R99" s="5">
        <v>46080</v>
      </c>
      <c r="S99" s="169" t="s">
        <v>52</v>
      </c>
      <c r="T99" s="175"/>
    </row>
    <row r="100" spans="16:20" ht="15.75" customHeight="1" x14ac:dyDescent="0.2">
      <c r="P100" s="93" t="s">
        <v>35</v>
      </c>
      <c r="Q100" s="137">
        <v>23.65</v>
      </c>
      <c r="R100" s="5">
        <v>46080</v>
      </c>
      <c r="S100" s="169" t="s">
        <v>328</v>
      </c>
      <c r="T100" s="175"/>
    </row>
    <row r="101" spans="16:20" ht="15.75" customHeight="1" x14ac:dyDescent="0.2">
      <c r="P101" s="93" t="s">
        <v>59</v>
      </c>
      <c r="Q101" s="137">
        <v>10.78</v>
      </c>
      <c r="R101" s="5">
        <v>46080</v>
      </c>
      <c r="S101" s="169" t="s">
        <v>509</v>
      </c>
      <c r="T101" s="175"/>
    </row>
    <row r="102" spans="16:20" ht="15.75" customHeight="1" x14ac:dyDescent="0.2">
      <c r="P102" s="93"/>
      <c r="Q102" s="137"/>
      <c r="R102" s="5"/>
      <c r="S102" s="169"/>
      <c r="T102" s="175"/>
    </row>
    <row r="103" spans="16:20" ht="15.75" customHeight="1" x14ac:dyDescent="0.2">
      <c r="P103" s="93"/>
      <c r="Q103" s="137"/>
      <c r="R103" s="5"/>
      <c r="S103" s="169"/>
      <c r="T103" s="175"/>
    </row>
    <row r="104" spans="16:20" ht="15.75" customHeight="1" x14ac:dyDescent="0.2">
      <c r="P104" s="93"/>
      <c r="Q104" s="137"/>
      <c r="R104" s="5"/>
      <c r="S104" s="169"/>
      <c r="T104" s="175"/>
    </row>
    <row r="105" spans="16:20" ht="15.75" customHeight="1" x14ac:dyDescent="0.2">
      <c r="P105" s="93"/>
      <c r="Q105" s="137"/>
      <c r="R105" s="5"/>
      <c r="S105" s="169"/>
      <c r="T105" s="175"/>
    </row>
    <row r="106" spans="16:20" ht="15.75" customHeight="1" x14ac:dyDescent="0.2">
      <c r="P106" s="93"/>
      <c r="Q106" s="137"/>
      <c r="R106" s="5"/>
      <c r="S106" s="169"/>
      <c r="T106" s="175"/>
    </row>
    <row r="107" spans="16:20" ht="15.75" customHeight="1" x14ac:dyDescent="0.2">
      <c r="P107" s="93"/>
      <c r="Q107" s="137"/>
      <c r="R107" s="5"/>
      <c r="S107" s="169"/>
      <c r="T107" s="175"/>
    </row>
    <row r="108" spans="16:20" ht="15.75" customHeight="1" x14ac:dyDescent="0.2">
      <c r="P108" s="93"/>
      <c r="Q108" s="137"/>
      <c r="R108" s="5"/>
      <c r="S108" s="169"/>
      <c r="T108" s="175"/>
    </row>
    <row r="109" spans="16:20" ht="15.75" customHeight="1" x14ac:dyDescent="0.2">
      <c r="P109" s="93"/>
      <c r="Q109" s="137"/>
      <c r="R109" s="5"/>
      <c r="S109" s="169"/>
      <c r="T109" s="175"/>
    </row>
    <row r="110" spans="16:20" ht="15.75" customHeight="1" x14ac:dyDescent="0.2">
      <c r="P110" s="93"/>
      <c r="Q110" s="137"/>
      <c r="R110" s="5"/>
      <c r="S110" s="169"/>
      <c r="T110" s="175"/>
    </row>
    <row r="111" spans="16:20" ht="15.75" customHeight="1" x14ac:dyDescent="0.2">
      <c r="P111" s="93"/>
      <c r="Q111" s="137"/>
      <c r="R111" s="5"/>
      <c r="S111" s="169"/>
      <c r="T111" s="175"/>
    </row>
    <row r="112" spans="16:20" ht="15.75" customHeight="1" x14ac:dyDescent="0.2">
      <c r="P112" s="93"/>
      <c r="Q112" s="137"/>
      <c r="R112" s="5"/>
      <c r="S112" s="169"/>
      <c r="T112" s="175"/>
    </row>
    <row r="113" spans="16:20" ht="15.75" customHeight="1" x14ac:dyDescent="0.2">
      <c r="P113" s="93"/>
      <c r="Q113" s="137"/>
      <c r="R113" s="5"/>
      <c r="S113" s="169"/>
      <c r="T113" s="175"/>
    </row>
    <row r="114" spans="16:20" ht="15.75" customHeight="1" x14ac:dyDescent="0.2">
      <c r="P114" s="93"/>
      <c r="Q114" s="137"/>
      <c r="R114" s="5"/>
      <c r="S114" s="169"/>
      <c r="T114" s="175"/>
    </row>
    <row r="115" spans="16:20" ht="15.75" customHeight="1" x14ac:dyDescent="0.2">
      <c r="P115" s="93"/>
      <c r="Q115" s="137"/>
      <c r="R115" s="5"/>
      <c r="S115" s="169"/>
      <c r="T115" s="175"/>
    </row>
    <row r="116" spans="16:20" ht="15.75" customHeight="1" x14ac:dyDescent="0.2">
      <c r="P116" s="93"/>
      <c r="Q116" s="137"/>
      <c r="R116" s="5"/>
      <c r="S116" s="169"/>
      <c r="T116" s="175"/>
    </row>
    <row r="117" spans="16:20" ht="15.75" customHeight="1" x14ac:dyDescent="0.2">
      <c r="P117" s="93"/>
      <c r="Q117" s="137"/>
      <c r="R117" s="5"/>
      <c r="S117" s="169"/>
      <c r="T117" s="175"/>
    </row>
    <row r="118" spans="16:20" ht="15.75" customHeight="1" x14ac:dyDescent="0.2">
      <c r="P118" s="93"/>
      <c r="Q118" s="137"/>
      <c r="R118" s="5"/>
      <c r="S118" s="169"/>
      <c r="T118" s="175"/>
    </row>
    <row r="119" spans="16:20" ht="15.75" customHeight="1" x14ac:dyDescent="0.2">
      <c r="P119" s="93"/>
      <c r="Q119" s="137"/>
      <c r="R119" s="5"/>
      <c r="S119" s="169"/>
      <c r="T119" s="175"/>
    </row>
    <row r="120" spans="16:20" ht="15.75" customHeight="1" x14ac:dyDescent="0.2">
      <c r="P120" s="93"/>
      <c r="Q120" s="137"/>
      <c r="R120" s="5"/>
      <c r="S120" s="169"/>
      <c r="T120" s="175"/>
    </row>
    <row r="121" spans="16:20" ht="15.75" customHeight="1" x14ac:dyDescent="0.2">
      <c r="P121" s="93"/>
      <c r="Q121" s="137"/>
      <c r="R121" s="5"/>
      <c r="S121" s="169"/>
      <c r="T121" s="175"/>
    </row>
    <row r="122" spans="16:20" ht="15.75" customHeight="1" x14ac:dyDescent="0.2">
      <c r="P122" s="93"/>
      <c r="Q122" s="137"/>
      <c r="R122" s="5"/>
      <c r="S122" s="169"/>
      <c r="T122" s="175"/>
    </row>
    <row r="123" spans="16:20" ht="15.75" customHeight="1" x14ac:dyDescent="0.2">
      <c r="P123" s="93"/>
      <c r="Q123" s="137"/>
      <c r="R123" s="5"/>
      <c r="S123" s="169"/>
      <c r="T123" s="175"/>
    </row>
    <row r="124" spans="16:20" ht="15.75" customHeight="1" x14ac:dyDescent="0.2">
      <c r="P124" s="93"/>
      <c r="Q124" s="137"/>
      <c r="R124" s="5"/>
      <c r="S124" s="169"/>
      <c r="T124" s="175"/>
    </row>
    <row r="125" spans="16:20" ht="15.75" customHeight="1" x14ac:dyDescent="0.2">
      <c r="P125" s="93"/>
      <c r="Q125" s="137"/>
      <c r="R125" s="5"/>
      <c r="S125" s="169"/>
      <c r="T125" s="175"/>
    </row>
    <row r="126" spans="16:20" ht="15.75" customHeight="1" x14ac:dyDescent="0.2">
      <c r="P126" s="93"/>
      <c r="Q126" s="137"/>
      <c r="R126" s="5"/>
      <c r="S126" s="169"/>
      <c r="T126" s="175"/>
    </row>
    <row r="127" spans="16:20" ht="15.75" customHeight="1" x14ac:dyDescent="0.2">
      <c r="P127" s="93"/>
      <c r="Q127" s="137"/>
      <c r="R127" s="5"/>
      <c r="S127" s="169"/>
      <c r="T127" s="175"/>
    </row>
    <row r="128" spans="16:20" ht="15.75" customHeight="1" x14ac:dyDescent="0.2">
      <c r="P128" s="93"/>
      <c r="Q128" s="137"/>
      <c r="R128" s="5"/>
      <c r="S128" s="169"/>
      <c r="T128" s="175"/>
    </row>
    <row r="129" spans="16:20" ht="15.75" customHeight="1" x14ac:dyDescent="0.2">
      <c r="P129" s="93"/>
      <c r="Q129" s="137"/>
      <c r="R129" s="5"/>
      <c r="S129" s="169"/>
      <c r="T129" s="175"/>
    </row>
    <row r="130" spans="16:20" ht="15.75" customHeight="1" x14ac:dyDescent="0.2">
      <c r="P130" s="93"/>
      <c r="Q130" s="137"/>
      <c r="R130" s="5"/>
      <c r="S130" s="169"/>
      <c r="T130" s="175"/>
    </row>
    <row r="131" spans="16:20" ht="15.75" customHeight="1" x14ac:dyDescent="0.2">
      <c r="P131" s="93"/>
      <c r="Q131" s="137"/>
      <c r="R131" s="5"/>
      <c r="S131" s="169"/>
      <c r="T131" s="175"/>
    </row>
    <row r="132" spans="16:20" ht="15.75" customHeight="1" x14ac:dyDescent="0.2">
      <c r="P132" s="93"/>
      <c r="Q132" s="137"/>
      <c r="R132" s="5"/>
      <c r="S132" s="169"/>
      <c r="T132" s="175"/>
    </row>
    <row r="133" spans="16:20" ht="15.75" customHeight="1" x14ac:dyDescent="0.2">
      <c r="P133" s="93"/>
      <c r="Q133" s="137"/>
      <c r="R133" s="5"/>
      <c r="S133" s="169"/>
      <c r="T133" s="175"/>
    </row>
    <row r="134" spans="16:20" ht="15.75" customHeight="1" x14ac:dyDescent="0.2">
      <c r="P134" s="93"/>
      <c r="Q134" s="137"/>
      <c r="R134" s="5"/>
      <c r="S134" s="169"/>
      <c r="T134" s="175"/>
    </row>
    <row r="135" spans="16:20" ht="15.75" customHeight="1" x14ac:dyDescent="0.2">
      <c r="P135" s="93"/>
      <c r="Q135" s="137"/>
      <c r="R135" s="5"/>
      <c r="S135" s="169"/>
      <c r="T135" s="175"/>
    </row>
    <row r="136" spans="16:20" ht="15.75" customHeight="1" x14ac:dyDescent="0.2">
      <c r="P136" s="93"/>
      <c r="Q136" s="137"/>
      <c r="R136" s="5"/>
      <c r="S136" s="169"/>
      <c r="T136" s="175"/>
    </row>
    <row r="137" spans="16:20" ht="15.75" customHeight="1" x14ac:dyDescent="0.2">
      <c r="P137" s="93"/>
      <c r="Q137" s="137"/>
      <c r="R137" s="5"/>
      <c r="S137" s="169"/>
      <c r="T137" s="175"/>
    </row>
    <row r="138" spans="16:20" ht="15.75" customHeight="1" x14ac:dyDescent="0.2">
      <c r="P138" s="93"/>
      <c r="Q138" s="137"/>
      <c r="R138" s="5"/>
      <c r="S138" s="169"/>
      <c r="T138" s="175"/>
    </row>
    <row r="139" spans="16:20" ht="15.75" customHeight="1" x14ac:dyDescent="0.2">
      <c r="P139" s="93"/>
      <c r="Q139" s="137"/>
      <c r="R139" s="5"/>
      <c r="S139" s="169"/>
      <c r="T139" s="175"/>
    </row>
    <row r="140" spans="16:20" ht="15.75" customHeight="1" x14ac:dyDescent="0.2">
      <c r="P140" s="93"/>
      <c r="Q140" s="137"/>
      <c r="R140" s="5"/>
      <c r="S140" s="169"/>
      <c r="T140" s="175"/>
    </row>
    <row r="141" spans="16:20" ht="15.75" customHeight="1" x14ac:dyDescent="0.2">
      <c r="P141" s="93"/>
      <c r="Q141" s="137"/>
      <c r="R141" s="5"/>
      <c r="S141" s="169"/>
      <c r="T141" s="175"/>
    </row>
    <row r="142" spans="16:20" ht="15.75" customHeight="1" x14ac:dyDescent="0.2">
      <c r="P142" s="93"/>
      <c r="Q142" s="137"/>
      <c r="R142" s="5"/>
      <c r="S142" s="169"/>
      <c r="T142" s="175"/>
    </row>
    <row r="143" spans="16:20" ht="15.75" customHeight="1" x14ac:dyDescent="0.2">
      <c r="P143" s="93"/>
      <c r="Q143" s="137"/>
      <c r="R143" s="5"/>
      <c r="S143" s="169"/>
      <c r="T143" s="175"/>
    </row>
    <row r="144" spans="16:20" ht="15.75" customHeight="1" x14ac:dyDescent="0.2">
      <c r="P144" s="93"/>
      <c r="Q144" s="137"/>
      <c r="R144" s="5"/>
      <c r="S144" s="169"/>
      <c r="T144" s="175"/>
    </row>
    <row r="145" spans="16:20" ht="15.75" customHeight="1" x14ac:dyDescent="0.2">
      <c r="P145" s="93"/>
      <c r="Q145" s="137"/>
      <c r="R145" s="5"/>
      <c r="S145" s="169"/>
      <c r="T145" s="175"/>
    </row>
    <row r="146" spans="16:20" ht="15.75" customHeight="1" x14ac:dyDescent="0.2">
      <c r="P146" s="93"/>
      <c r="Q146" s="137"/>
      <c r="R146" s="5"/>
      <c r="S146" s="169"/>
      <c r="T146" s="175"/>
    </row>
    <row r="147" spans="16:20" ht="15.75" customHeight="1" x14ac:dyDescent="0.2">
      <c r="P147" s="93"/>
      <c r="Q147" s="137"/>
      <c r="R147" s="5"/>
      <c r="S147" s="169"/>
      <c r="T147" s="175"/>
    </row>
  </sheetData>
  <mergeCells count="14">
    <mergeCell ref="B16:B17"/>
    <mergeCell ref="C16:C17"/>
    <mergeCell ref="B2:C2"/>
    <mergeCell ref="B7:B8"/>
    <mergeCell ref="M11:N11"/>
    <mergeCell ref="B12:B13"/>
    <mergeCell ref="C12:C13"/>
    <mergeCell ref="E22:G22"/>
    <mergeCell ref="K22:N23"/>
    <mergeCell ref="K24:N25"/>
    <mergeCell ref="B38:C38"/>
    <mergeCell ref="J34:N34"/>
    <mergeCell ref="J35:N35"/>
    <mergeCell ref="J33:N33"/>
  </mergeCells>
  <conditionalFormatting sqref="F24:F33">
    <cfRule type="cellIs" dxfId="55" priority="1" operator="greaterThan">
      <formula>0</formula>
    </cfRule>
    <cfRule type="cellIs" dxfId="54" priority="2" operator="lessThan">
      <formula>0</formula>
    </cfRule>
  </conditionalFormatting>
  <conditionalFormatting sqref="G24:G33">
    <cfRule type="cellIs" dxfId="53" priority="3" operator="lessThan">
      <formula>0</formula>
    </cfRule>
    <cfRule type="cellIs" dxfId="52" priority="4" operator="greaterThan">
      <formula>0</formula>
    </cfRule>
    <cfRule type="cellIs" dxfId="51" priority="5" operator="greaterThan">
      <formula>0</formula>
    </cfRule>
  </conditionalFormatting>
  <conditionalFormatting sqref="K22">
    <cfRule type="containsText" dxfId="50" priority="12" operator="containsText" text="Gasto com Extra ok">
      <formula>NOT(ISERROR(SEARCH("Gasto com Extra ok",K22)))</formula>
    </cfRule>
    <cfRule type="containsText" dxfId="49" priority="14" operator="containsText" text="Continuem assim">
      <formula>NOT(ISERROR(SEARCH("Continuem assim",K22)))</formula>
    </cfRule>
    <cfRule type="containsText" dxfId="48" priority="18" operator="containsText" text="ATENÇÃO, JÁ GASTAMOS">
      <formula>NOT(ISERROR(SEARCH("ATENÇÃO, JÁ GASTAMOS",K22)))</formula>
    </cfRule>
    <cfRule type="containsText" dxfId="47" priority="19" operator="containsText" text="ATENÇÃO, JA GASTAMOS">
      <formula>NOT(ISERROR(SEARCH("ATENÇÃO, JA GASTAMOS",K22)))</formula>
    </cfRule>
    <cfRule type="containsText" dxfId="46" priority="20" operator="containsText" text="ATENÇÃO PARA OS GASTOS">
      <formula>NOT(ISERROR(SEARCH("ATENÇÃO PARA OS GASTOS",K22)))</formula>
    </cfRule>
    <cfRule type="cellIs" dxfId="45" priority="21" operator="lessThan">
      <formula>150</formula>
    </cfRule>
  </conditionalFormatting>
  <conditionalFormatting sqref="K24">
    <cfRule type="containsText" dxfId="44" priority="15" operator="containsText" text="Os valores estão positivos">
      <formula>NOT(ISERROR(SEARCH("Os valores estão positivos",K24)))</formula>
    </cfRule>
    <cfRule type="containsText" dxfId="43" priority="16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42" priority="11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A2E5-60EA-4FC4-9E81-C879FA297485}">
  <sheetPr>
    <outlinePr summaryBelow="0" summaryRight="0"/>
  </sheetPr>
  <dimension ref="B1:V147"/>
  <sheetViews>
    <sheetView topLeftCell="A15" zoomScaleNormal="100" workbookViewId="0">
      <selection activeCell="S21" sqref="S21:S22"/>
    </sheetView>
  </sheetViews>
  <sheetFormatPr defaultColWidth="12.5703125" defaultRowHeight="15.75" customHeight="1" x14ac:dyDescent="0.2"/>
  <cols>
    <col min="1" max="1" width="1.5703125" customWidth="1"/>
    <col min="2" max="2" width="27.85546875" customWidth="1"/>
    <col min="3" max="3" width="17.28515625" bestFit="1" customWidth="1"/>
    <col min="4" max="4" width="2.42578125" customWidth="1"/>
    <col min="5" max="5" width="22.85546875" bestFit="1" customWidth="1"/>
    <col min="6" max="6" width="23.425781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26.140625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2.42578125" style="69" bestFit="1" customWidth="1"/>
    <col min="18" max="18" width="9.7109375" bestFit="1" customWidth="1"/>
    <col min="19" max="19" width="51.7109375" bestFit="1" customWidth="1"/>
    <col min="20" max="20" width="12.42578125" bestFit="1" customWidth="1"/>
    <col min="21" max="21" width="7" bestFit="1" customWidth="1"/>
    <col min="22" max="22" width="17.28515625" bestFit="1" customWidth="1"/>
    <col min="23" max="23" width="13.140625" customWidth="1"/>
    <col min="24" max="24" width="17.28515625" bestFit="1" customWidth="1"/>
    <col min="25" max="25" width="22.28515625" bestFit="1" customWidth="1"/>
    <col min="28" max="28" width="22.28515625" bestFit="1" customWidth="1"/>
  </cols>
  <sheetData>
    <row r="1" spans="2:22" ht="9" customHeight="1" x14ac:dyDescent="0.2">
      <c r="T1" s="51"/>
      <c r="U1" s="51"/>
      <c r="V1" s="51"/>
    </row>
    <row r="2" spans="2:22" ht="15.75" customHeight="1" x14ac:dyDescent="0.2">
      <c r="B2" s="339" t="s">
        <v>0</v>
      </c>
      <c r="C2" s="340"/>
      <c r="D2" s="37"/>
      <c r="E2" s="98" t="s">
        <v>1</v>
      </c>
      <c r="F2" s="258" t="s">
        <v>27</v>
      </c>
      <c r="H2" s="37"/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5" t="s">
        <v>60</v>
      </c>
      <c r="Q2" s="174" t="s">
        <v>27</v>
      </c>
      <c r="R2" s="162" t="s">
        <v>36</v>
      </c>
      <c r="S2" s="163" t="s">
        <v>37</v>
      </c>
      <c r="T2" s="234" t="s">
        <v>417</v>
      </c>
      <c r="U2" s="51"/>
      <c r="V2" s="52"/>
    </row>
    <row r="3" spans="2:22" ht="15.75" customHeight="1" x14ac:dyDescent="0.2">
      <c r="B3" s="1" t="s">
        <v>43</v>
      </c>
      <c r="C3" s="1">
        <v>1751.86</v>
      </c>
      <c r="D3" s="37"/>
      <c r="E3" s="97" t="s">
        <v>4</v>
      </c>
      <c r="F3" s="257">
        <v>760</v>
      </c>
      <c r="H3" s="37"/>
      <c r="I3" s="126" t="s">
        <v>3</v>
      </c>
      <c r="J3" s="125">
        <v>64.900000000000006</v>
      </c>
      <c r="K3" s="129">
        <v>45938</v>
      </c>
      <c r="M3" s="25" t="s">
        <v>2</v>
      </c>
      <c r="N3" s="26" t="s">
        <v>39</v>
      </c>
      <c r="P3" s="93" t="s">
        <v>35</v>
      </c>
      <c r="Q3" s="137">
        <v>39.97</v>
      </c>
      <c r="R3" s="5">
        <v>46049</v>
      </c>
      <c r="S3" s="169" t="s">
        <v>269</v>
      </c>
      <c r="T3" s="175" t="s">
        <v>524</v>
      </c>
    </row>
    <row r="4" spans="2:22" ht="15.75" customHeight="1" x14ac:dyDescent="0.2">
      <c r="B4" s="1" t="s">
        <v>44</v>
      </c>
      <c r="C4" s="1">
        <v>1929</v>
      </c>
      <c r="D4" s="37"/>
      <c r="E4" s="97" t="s">
        <v>6</v>
      </c>
      <c r="F4" s="257">
        <v>596</v>
      </c>
      <c r="G4" s="109"/>
      <c r="H4" s="37"/>
      <c r="I4" s="126" t="s">
        <v>5</v>
      </c>
      <c r="J4" s="125">
        <v>147</v>
      </c>
      <c r="K4" s="129">
        <v>46366</v>
      </c>
      <c r="M4" s="25" t="s">
        <v>3</v>
      </c>
      <c r="N4" s="26">
        <v>24.9</v>
      </c>
      <c r="P4" s="36" t="s">
        <v>59</v>
      </c>
      <c r="Q4" s="137">
        <v>9.6999999999999993</v>
      </c>
      <c r="R4" s="5">
        <v>46080</v>
      </c>
      <c r="S4" s="169" t="s">
        <v>156</v>
      </c>
      <c r="T4" s="175" t="s">
        <v>532</v>
      </c>
      <c r="V4" s="52"/>
    </row>
    <row r="5" spans="2:22" ht="15.75" customHeight="1" x14ac:dyDescent="0.2">
      <c r="B5" s="1" t="s">
        <v>56</v>
      </c>
      <c r="C5" s="1">
        <v>812</v>
      </c>
      <c r="D5" s="37"/>
      <c r="E5" s="97" t="s">
        <v>9</v>
      </c>
      <c r="F5" s="257">
        <v>295</v>
      </c>
      <c r="G5" s="109"/>
      <c r="H5" s="37"/>
      <c r="I5" s="126" t="s">
        <v>14</v>
      </c>
      <c r="J5" s="125">
        <v>128</v>
      </c>
      <c r="K5" s="129">
        <v>46297</v>
      </c>
      <c r="M5" s="25" t="s">
        <v>7</v>
      </c>
      <c r="N5" s="26">
        <v>11.8</v>
      </c>
      <c r="P5" s="93" t="s">
        <v>33</v>
      </c>
      <c r="Q5" s="137">
        <f>4.99+4.99+4.99+7.98+7.98+7.98+3.98+0.49+0.49</f>
        <v>43.870000000000005</v>
      </c>
      <c r="R5" s="5">
        <v>46081</v>
      </c>
      <c r="S5" s="169" t="s">
        <v>518</v>
      </c>
      <c r="T5" s="175" t="s">
        <v>520</v>
      </c>
      <c r="V5" s="52"/>
    </row>
    <row r="6" spans="2:22" ht="15.75" customHeight="1" x14ac:dyDescent="0.2">
      <c r="B6" s="1" t="s">
        <v>516</v>
      </c>
      <c r="C6" s="1">
        <v>946</v>
      </c>
      <c r="D6" s="37"/>
      <c r="E6" s="97" t="s">
        <v>12</v>
      </c>
      <c r="F6" s="257">
        <v>97</v>
      </c>
      <c r="G6" s="109"/>
      <c r="H6" s="37"/>
      <c r="I6" s="126" t="s">
        <v>226</v>
      </c>
      <c r="J6" s="125">
        <v>179.58</v>
      </c>
      <c r="K6" s="130">
        <v>46362</v>
      </c>
      <c r="M6" s="25" t="s">
        <v>10</v>
      </c>
      <c r="N6" s="26">
        <v>20</v>
      </c>
      <c r="P6" s="93" t="s">
        <v>33</v>
      </c>
      <c r="Q6" s="137">
        <f>((170.79-43.87)/3)*2</f>
        <v>84.61333333333333</v>
      </c>
      <c r="R6" s="5">
        <v>46081</v>
      </c>
      <c r="S6" s="169" t="s">
        <v>519</v>
      </c>
      <c r="T6" s="175" t="s">
        <v>520</v>
      </c>
      <c r="U6" s="37"/>
      <c r="V6" s="52"/>
    </row>
    <row r="7" spans="2:22" ht="15.75" customHeight="1" x14ac:dyDescent="0.2">
      <c r="B7" s="343" t="s">
        <v>15</v>
      </c>
      <c r="C7" s="41">
        <v>445</v>
      </c>
      <c r="D7" s="37"/>
      <c r="E7" s="97" t="s">
        <v>16</v>
      </c>
      <c r="F7" s="257">
        <v>200</v>
      </c>
      <c r="G7" s="109"/>
      <c r="H7" s="37"/>
      <c r="I7" s="126" t="s">
        <v>233</v>
      </c>
      <c r="J7" s="125">
        <v>46</v>
      </c>
      <c r="K7" s="129" t="s">
        <v>234</v>
      </c>
      <c r="M7" s="25" t="s">
        <v>13</v>
      </c>
      <c r="N7" s="26">
        <v>19.899999999999999</v>
      </c>
      <c r="P7" s="93" t="s">
        <v>19</v>
      </c>
      <c r="Q7" s="137">
        <v>47</v>
      </c>
      <c r="R7" s="5">
        <v>46081</v>
      </c>
      <c r="S7" s="169" t="s">
        <v>521</v>
      </c>
      <c r="T7" s="175" t="s">
        <v>522</v>
      </c>
      <c r="U7" s="37"/>
      <c r="V7" s="52"/>
    </row>
    <row r="8" spans="2:22" ht="15.75" customHeight="1" x14ac:dyDescent="0.2">
      <c r="B8" s="344"/>
      <c r="C8" s="41">
        <v>409</v>
      </c>
      <c r="D8" s="37"/>
      <c r="E8" s="97" t="s">
        <v>459</v>
      </c>
      <c r="F8" s="257">
        <f>N9</f>
        <v>83.6</v>
      </c>
      <c r="H8" s="37"/>
      <c r="I8" s="126" t="s">
        <v>198</v>
      </c>
      <c r="J8" s="125">
        <v>76</v>
      </c>
      <c r="K8" s="129">
        <v>46083</v>
      </c>
      <c r="M8" s="25" t="s">
        <v>17</v>
      </c>
      <c r="N8" s="26">
        <v>7</v>
      </c>
      <c r="P8" s="253" t="s">
        <v>35</v>
      </c>
      <c r="Q8" s="240">
        <v>77.900000000000006</v>
      </c>
      <c r="R8" s="241">
        <v>46081</v>
      </c>
      <c r="S8" s="242" t="s">
        <v>523</v>
      </c>
      <c r="T8" s="247" t="s">
        <v>418</v>
      </c>
      <c r="U8" s="37"/>
      <c r="V8" s="52"/>
    </row>
    <row r="9" spans="2:22" ht="15.75" customHeight="1" x14ac:dyDescent="0.2">
      <c r="B9" s="261"/>
      <c r="C9" s="262"/>
      <c r="D9" s="37"/>
      <c r="E9" s="132" t="s">
        <v>20</v>
      </c>
      <c r="F9" s="133">
        <f>SUM(F3:F8)</f>
        <v>2031.6</v>
      </c>
      <c r="H9" s="37"/>
      <c r="I9" s="126" t="s">
        <v>517</v>
      </c>
      <c r="J9" s="125">
        <v>62</v>
      </c>
      <c r="K9" s="129" t="s">
        <v>39</v>
      </c>
      <c r="M9" s="31" t="s">
        <v>20</v>
      </c>
      <c r="N9" s="32">
        <f>SUM(N3:N8)</f>
        <v>83.6</v>
      </c>
      <c r="P9" s="253" t="s">
        <v>35</v>
      </c>
      <c r="Q9" s="240">
        <v>12.99</v>
      </c>
      <c r="R9" s="241">
        <v>46081</v>
      </c>
      <c r="S9" s="242" t="s">
        <v>525</v>
      </c>
      <c r="T9" s="247" t="s">
        <v>418</v>
      </c>
      <c r="U9" s="37"/>
      <c r="V9" s="52"/>
    </row>
    <row r="10" spans="2:22" ht="15.75" customHeight="1" x14ac:dyDescent="0.2">
      <c r="B10" s="261"/>
      <c r="C10" s="172">
        <v>0</v>
      </c>
      <c r="D10" s="37"/>
      <c r="H10" s="37"/>
      <c r="I10" s="132" t="s">
        <v>20</v>
      </c>
      <c r="J10" s="133">
        <f>SUM(J3:J9)</f>
        <v>703.48</v>
      </c>
      <c r="K10" s="135" t="s">
        <v>39</v>
      </c>
      <c r="N10" s="37"/>
      <c r="O10" s="37"/>
      <c r="P10" s="243" t="s">
        <v>21</v>
      </c>
      <c r="Q10" s="240">
        <v>73.099999999999994</v>
      </c>
      <c r="R10" s="241">
        <v>46081</v>
      </c>
      <c r="S10" s="242" t="s">
        <v>223</v>
      </c>
      <c r="T10" s="247" t="s">
        <v>418</v>
      </c>
      <c r="U10" s="37"/>
      <c r="V10" s="52"/>
    </row>
    <row r="11" spans="2:22" ht="16.5" x14ac:dyDescent="0.2">
      <c r="B11" s="261"/>
      <c r="C11" s="262"/>
      <c r="D11" s="37"/>
      <c r="H11" s="37"/>
      <c r="M11" s="341" t="s">
        <v>40</v>
      </c>
      <c r="N11" s="342"/>
      <c r="P11" s="36" t="s">
        <v>50</v>
      </c>
      <c r="Q11" s="137">
        <v>15</v>
      </c>
      <c r="R11" s="5">
        <v>46081</v>
      </c>
      <c r="S11" s="169" t="s">
        <v>535</v>
      </c>
      <c r="T11" s="175" t="s">
        <v>532</v>
      </c>
      <c r="U11" s="37"/>
      <c r="V11" s="52"/>
    </row>
    <row r="12" spans="2:22" ht="16.5" x14ac:dyDescent="0.2">
      <c r="B12" s="346" t="s">
        <v>20</v>
      </c>
      <c r="C12" s="347">
        <f>SUM(C3:C9)</f>
        <v>6292.86</v>
      </c>
      <c r="D12" s="37"/>
      <c r="H12" s="37"/>
      <c r="I12" s="69"/>
      <c r="M12" s="27" t="s">
        <v>41</v>
      </c>
      <c r="N12" s="38">
        <v>15000</v>
      </c>
      <c r="P12" s="93" t="s">
        <v>33</v>
      </c>
      <c r="Q12" s="137">
        <v>9.08</v>
      </c>
      <c r="R12" s="5">
        <v>46081</v>
      </c>
      <c r="S12" s="169" t="s">
        <v>536</v>
      </c>
      <c r="T12" s="175" t="s">
        <v>532</v>
      </c>
      <c r="U12" s="37"/>
      <c r="V12" s="52"/>
    </row>
    <row r="13" spans="2:22" ht="16.5" x14ac:dyDescent="0.2">
      <c r="B13" s="344"/>
      <c r="C13" s="348"/>
      <c r="D13" s="37"/>
      <c r="F13" s="69"/>
      <c r="H13" s="37"/>
      <c r="J13" s="96"/>
      <c r="M13" s="28" t="s">
        <v>42</v>
      </c>
      <c r="N13" s="39">
        <f>3175</f>
        <v>3175</v>
      </c>
      <c r="P13" s="93" t="s">
        <v>33</v>
      </c>
      <c r="Q13" s="137">
        <f>83.6-50</f>
        <v>33.599999999999994</v>
      </c>
      <c r="R13" s="5">
        <v>46082</v>
      </c>
      <c r="S13" s="169" t="s">
        <v>530</v>
      </c>
      <c r="T13" s="175" t="s">
        <v>532</v>
      </c>
      <c r="U13" s="37"/>
      <c r="V13" s="52"/>
    </row>
    <row r="14" spans="2:22" ht="16.5" x14ac:dyDescent="0.2">
      <c r="B14" s="37"/>
      <c r="C14" s="37"/>
      <c r="D14" s="37"/>
      <c r="F14" s="69"/>
      <c r="G14" s="259"/>
      <c r="H14" s="37"/>
      <c r="I14" s="96"/>
      <c r="J14" s="69"/>
      <c r="M14" s="29" t="s">
        <v>64</v>
      </c>
      <c r="N14" s="40">
        <f>N12-N13</f>
        <v>11825</v>
      </c>
      <c r="P14" s="36" t="s">
        <v>50</v>
      </c>
      <c r="Q14" s="137">
        <v>300</v>
      </c>
      <c r="R14" s="5">
        <v>46082</v>
      </c>
      <c r="S14" s="169" t="s">
        <v>116</v>
      </c>
      <c r="T14" s="175" t="s">
        <v>532</v>
      </c>
      <c r="U14" s="37"/>
      <c r="V14" s="52"/>
    </row>
    <row r="15" spans="2:22" ht="12.75" x14ac:dyDescent="0.2">
      <c r="B15" s="43"/>
      <c r="C15" s="43"/>
      <c r="D15" s="43"/>
      <c r="E15" s="44"/>
      <c r="F15" s="70"/>
      <c r="G15" s="173"/>
      <c r="H15" s="37"/>
      <c r="N15" s="37"/>
      <c r="O15" s="37"/>
      <c r="P15" s="253" t="s">
        <v>33</v>
      </c>
      <c r="Q15" s="240">
        <v>19.98</v>
      </c>
      <c r="R15" s="241">
        <v>46082</v>
      </c>
      <c r="S15" s="242" t="s">
        <v>553</v>
      </c>
      <c r="T15" s="247" t="s">
        <v>418</v>
      </c>
      <c r="U15" s="37"/>
      <c r="V15" s="52"/>
    </row>
    <row r="16" spans="2:22" ht="12.75" x14ac:dyDescent="0.2">
      <c r="B16" s="335" t="s">
        <v>239</v>
      </c>
      <c r="C16" s="337">
        <f>C12-F9-J10</f>
        <v>3557.78</v>
      </c>
      <c r="D16" s="43"/>
      <c r="E16" s="71"/>
      <c r="F16" s="72"/>
      <c r="G16" s="72"/>
      <c r="H16" s="44"/>
      <c r="I16" s="69"/>
      <c r="N16" s="37"/>
      <c r="O16" s="37"/>
      <c r="P16" s="147" t="s">
        <v>33</v>
      </c>
      <c r="Q16" s="137">
        <v>60.21</v>
      </c>
      <c r="R16" s="5">
        <v>46082</v>
      </c>
      <c r="S16" s="169" t="s">
        <v>556</v>
      </c>
      <c r="T16" s="175" t="s">
        <v>558</v>
      </c>
      <c r="U16" s="37"/>
      <c r="V16" s="52"/>
    </row>
    <row r="17" spans="2:22" ht="12.75" x14ac:dyDescent="0.2">
      <c r="B17" s="336"/>
      <c r="C17" s="336"/>
      <c r="D17" s="43"/>
      <c r="E17" s="70"/>
      <c r="F17" s="69"/>
      <c r="G17" s="44"/>
      <c r="H17" s="44"/>
      <c r="K17" s="96"/>
      <c r="N17" s="37"/>
      <c r="P17" s="93" t="s">
        <v>35</v>
      </c>
      <c r="Q17" s="137">
        <v>7.95</v>
      </c>
      <c r="R17" s="5">
        <v>46083</v>
      </c>
      <c r="S17" s="169" t="s">
        <v>52</v>
      </c>
      <c r="T17" s="175" t="s">
        <v>522</v>
      </c>
      <c r="U17" s="37"/>
      <c r="V17" s="52"/>
    </row>
    <row r="18" spans="2:22" ht="12.75" customHeight="1" x14ac:dyDescent="0.2">
      <c r="B18" s="43"/>
      <c r="C18" s="43"/>
      <c r="D18" s="43"/>
      <c r="F18" s="69"/>
      <c r="I18" s="51"/>
      <c r="J18" s="51"/>
      <c r="K18" s="51"/>
      <c r="L18" s="37"/>
      <c r="M18" s="37"/>
      <c r="N18" s="37"/>
      <c r="P18" s="93" t="s">
        <v>35</v>
      </c>
      <c r="Q18" s="137">
        <v>9.9499999999999993</v>
      </c>
      <c r="R18" s="5">
        <v>46083</v>
      </c>
      <c r="S18" s="169" t="s">
        <v>52</v>
      </c>
      <c r="T18" s="175" t="s">
        <v>522</v>
      </c>
      <c r="U18" s="37"/>
      <c r="V18" s="52"/>
    </row>
    <row r="19" spans="2:22" ht="12.75" x14ac:dyDescent="0.2">
      <c r="J19" s="70"/>
      <c r="K19" s="37"/>
      <c r="L19" s="37"/>
      <c r="M19" s="37"/>
      <c r="N19" s="37"/>
      <c r="P19" s="93" t="s">
        <v>35</v>
      </c>
      <c r="Q19" s="137">
        <v>7.96</v>
      </c>
      <c r="R19" s="5">
        <v>46084</v>
      </c>
      <c r="S19" s="169" t="s">
        <v>52</v>
      </c>
      <c r="T19" s="175" t="s">
        <v>522</v>
      </c>
      <c r="U19" s="37"/>
      <c r="V19" s="52"/>
    </row>
    <row r="20" spans="2:22" ht="12.75" x14ac:dyDescent="0.2">
      <c r="B20" s="37"/>
      <c r="C20" s="37"/>
      <c r="D20" s="37"/>
      <c r="J20" s="37"/>
      <c r="K20" s="37"/>
      <c r="L20" s="37"/>
      <c r="M20" s="37"/>
      <c r="N20" s="37"/>
      <c r="P20" s="36" t="s">
        <v>59</v>
      </c>
      <c r="Q20" s="137">
        <v>10</v>
      </c>
      <c r="R20" s="5">
        <v>46084</v>
      </c>
      <c r="S20" s="169" t="s">
        <v>528</v>
      </c>
      <c r="T20" s="175" t="s">
        <v>522</v>
      </c>
    </row>
    <row r="21" spans="2:22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93" t="s">
        <v>35</v>
      </c>
      <c r="Q21" s="137">
        <v>7.97</v>
      </c>
      <c r="R21" s="5">
        <v>46084</v>
      </c>
      <c r="S21" s="169" t="s">
        <v>52</v>
      </c>
      <c r="T21" s="175" t="s">
        <v>522</v>
      </c>
      <c r="V21" s="69"/>
    </row>
    <row r="22" spans="2:22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79">
        <f>SUMIFS(Q3:Q147,P3:P147,"Casa")</f>
        <v>391.67</v>
      </c>
      <c r="K22" s="345" t="str">
        <f>IF(J28&gt;=200,"ATENÇÃO AO GASTO EXTRA R$ " &amp; SUM(J28), "GASTO COM EXTRA OK !")</f>
        <v>ATENÇÃO AO GASTO EXTRA R$ 952,190000000001</v>
      </c>
      <c r="L22" s="345"/>
      <c r="M22" s="345"/>
      <c r="N22" s="345"/>
      <c r="P22" s="93" t="s">
        <v>58</v>
      </c>
      <c r="Q22" s="137">
        <v>17.899999999999999</v>
      </c>
      <c r="R22" s="5">
        <v>46084</v>
      </c>
      <c r="S22" s="169" t="s">
        <v>542</v>
      </c>
      <c r="T22" s="175" t="s">
        <v>557</v>
      </c>
    </row>
    <row r="23" spans="2:22" ht="15.75" customHeight="1" x14ac:dyDescent="0.2">
      <c r="B23" s="3" t="s">
        <v>31</v>
      </c>
      <c r="C23" s="46">
        <v>0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79">
        <f>SUMIFS(Q3:Q147,P3:P147,"Lazer")</f>
        <v>733.48333333333335</v>
      </c>
      <c r="K23" s="345"/>
      <c r="L23" s="345"/>
      <c r="M23" s="345"/>
      <c r="N23" s="345"/>
      <c r="P23" s="243" t="s">
        <v>35</v>
      </c>
      <c r="Q23" s="240">
        <v>20</v>
      </c>
      <c r="R23" s="241">
        <v>46084</v>
      </c>
      <c r="S23" s="242" t="s">
        <v>100</v>
      </c>
      <c r="T23" s="247" t="s">
        <v>418</v>
      </c>
    </row>
    <row r="24" spans="2:22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v>0</v>
      </c>
      <c r="G24" s="134">
        <v>0</v>
      </c>
      <c r="H24" s="2"/>
      <c r="I24" s="6" t="s">
        <v>34</v>
      </c>
      <c r="J24" s="79">
        <f>SUMIFS(Q3:Q147,P3:P147,"Roupas")</f>
        <v>0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253" t="s">
        <v>19</v>
      </c>
      <c r="Q24" s="240">
        <v>31.9</v>
      </c>
      <c r="R24" s="241">
        <v>46084</v>
      </c>
      <c r="S24" s="242" t="s">
        <v>124</v>
      </c>
      <c r="T24" s="247" t="s">
        <v>418</v>
      </c>
    </row>
    <row r="25" spans="2:22" ht="15.75" customHeight="1" x14ac:dyDescent="0.2">
      <c r="B25" s="3" t="s">
        <v>33</v>
      </c>
      <c r="C25" s="46">
        <v>700</v>
      </c>
      <c r="D25" s="43"/>
      <c r="E25" s="54" t="s">
        <v>32</v>
      </c>
      <c r="F25" s="55">
        <f>C24-J22</f>
        <v>-191.67000000000002</v>
      </c>
      <c r="G25" s="134">
        <f>SUM(Tabela6151661218253239465346[[#This Row],[Valores]]+Tabela61516612182532394653[[#This Row],[Acumulado]])</f>
        <v>489.61999999999995</v>
      </c>
      <c r="H25" s="2"/>
      <c r="I25" s="6" t="s">
        <v>19</v>
      </c>
      <c r="J25" s="79">
        <f>SUMIFS(Q3:Q147,P3:P147,"Nesco")</f>
        <v>135.79</v>
      </c>
      <c r="K25" s="334"/>
      <c r="L25" s="334"/>
      <c r="M25" s="334"/>
      <c r="N25" s="334"/>
      <c r="P25" s="147" t="s">
        <v>35</v>
      </c>
      <c r="Q25" s="137">
        <v>10.94</v>
      </c>
      <c r="R25" s="5">
        <v>46085</v>
      </c>
      <c r="S25" s="169" t="s">
        <v>52</v>
      </c>
      <c r="T25" s="175" t="s">
        <v>522</v>
      </c>
    </row>
    <row r="26" spans="2:22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</f>
        <v>-33.483333333333348</v>
      </c>
      <c r="G26" s="134">
        <f>SUM(Tabela6151661218253239465346[[#This Row],[Valores]]+Tabela61516612182532394653[[#This Row],[Acumulado]])</f>
        <v>-7.0666666666668334</v>
      </c>
      <c r="H26" s="2"/>
      <c r="I26" s="6" t="s">
        <v>21</v>
      </c>
      <c r="J26" s="79">
        <f>SUMIFS(Q3:Q147,P3:P147,"Gasolina / Óleo")</f>
        <v>464.61</v>
      </c>
      <c r="P26" s="93" t="s">
        <v>35</v>
      </c>
      <c r="Q26" s="137">
        <v>7.94</v>
      </c>
      <c r="R26" s="5">
        <v>46085</v>
      </c>
      <c r="S26" s="169" t="s">
        <v>52</v>
      </c>
      <c r="T26" s="175" t="s">
        <v>522</v>
      </c>
    </row>
    <row r="27" spans="2:22" ht="15.75" customHeight="1" x14ac:dyDescent="0.2">
      <c r="B27" s="13" t="s">
        <v>35</v>
      </c>
      <c r="C27" s="46">
        <f>C16-SUM(C23:C26)-SUM(C28:C32)</f>
        <v>797.7800000000002</v>
      </c>
      <c r="D27" s="43"/>
      <c r="E27" s="54" t="s">
        <v>34</v>
      </c>
      <c r="F27" s="55">
        <f>C26-J24</f>
        <v>200</v>
      </c>
      <c r="G27" s="134">
        <f>SUM(Tabela6151661218253239465346[[#This Row],[Valores]]+Tabela61516612182532394653[[#This Row],[Acumulado]])</f>
        <v>439.21000000000004</v>
      </c>
      <c r="H27" s="2"/>
      <c r="I27" s="6" t="s">
        <v>50</v>
      </c>
      <c r="J27" s="79">
        <f>SUMIFS(Q3:Q147,P3:P147,"Compras do Mês")</f>
        <v>918.06999999999994</v>
      </c>
      <c r="P27" s="147" t="s">
        <v>35</v>
      </c>
      <c r="Q27" s="137">
        <v>35</v>
      </c>
      <c r="R27" s="5">
        <v>46085</v>
      </c>
      <c r="S27" s="169" t="s">
        <v>543</v>
      </c>
      <c r="T27" s="175" t="s">
        <v>557</v>
      </c>
    </row>
    <row r="28" spans="2:22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-36.430000000000007</v>
      </c>
      <c r="G28" s="134">
        <f>SUM(Tabela6151661218253239465346[[#This Row],[Valores]]+Tabela61516612182532394653[[#This Row],[Acumulado]])</f>
        <v>-75.014999999999986</v>
      </c>
      <c r="H28" s="2"/>
      <c r="I28" s="6" t="s">
        <v>35</v>
      </c>
      <c r="J28" s="79">
        <f>SUMIFS(Q3:Q147,P3:P147,"Extras")</f>
        <v>952.19000000000062</v>
      </c>
      <c r="P28" s="243" t="s">
        <v>35</v>
      </c>
      <c r="Q28" s="240">
        <v>9.99</v>
      </c>
      <c r="R28" s="241">
        <v>46085</v>
      </c>
      <c r="S28" s="242" t="s">
        <v>552</v>
      </c>
      <c r="T28" s="247" t="s">
        <v>418</v>
      </c>
    </row>
    <row r="29" spans="2:22" ht="15.75" customHeight="1" x14ac:dyDescent="0.2">
      <c r="B29" s="12" t="s">
        <v>21</v>
      </c>
      <c r="C29" s="48">
        <v>200</v>
      </c>
      <c r="D29" s="43"/>
      <c r="E29" s="56" t="s">
        <v>58</v>
      </c>
      <c r="F29" s="57">
        <f>C32-J30</f>
        <v>54.099999999999994</v>
      </c>
      <c r="G29" s="134">
        <f>SUM(Tabela6151661218253239465346[[#This Row],[Valores]]+Tabela61516612182532394653[[#This Row],[Acumulado]])</f>
        <v>41.784999999999997</v>
      </c>
      <c r="H29" s="2"/>
      <c r="I29" s="6" t="s">
        <v>59</v>
      </c>
      <c r="J29" s="81">
        <f>SUMIFS(Q3:Q147,P3:P147,"Bobeirinhas V")</f>
        <v>336.43</v>
      </c>
      <c r="P29" s="147" t="s">
        <v>35</v>
      </c>
      <c r="Q29" s="137">
        <v>7.96</v>
      </c>
      <c r="R29" s="5">
        <v>46086</v>
      </c>
      <c r="S29" s="169" t="s">
        <v>52</v>
      </c>
      <c r="T29" s="175" t="s">
        <v>522</v>
      </c>
    </row>
    <row r="30" spans="2:22" ht="15.75" customHeight="1" x14ac:dyDescent="0.2">
      <c r="B30" s="13" t="s">
        <v>50</v>
      </c>
      <c r="C30" s="47">
        <f>800</f>
        <v>800</v>
      </c>
      <c r="D30" s="43"/>
      <c r="E30" s="58" t="s">
        <v>35</v>
      </c>
      <c r="F30" s="59">
        <f>C27-J28</f>
        <v>-154.41000000000042</v>
      </c>
      <c r="G30" s="134">
        <f>SUM(Tabela6151661218253239465346[[#This Row],[Valores]])</f>
        <v>-154.41000000000042</v>
      </c>
      <c r="H30" s="2"/>
      <c r="I30" s="9" t="s">
        <v>58</v>
      </c>
      <c r="J30" s="80">
        <f>SUMIFS(Q3:Q147,P3:P147,"Bobeirinhas J")</f>
        <v>245.9</v>
      </c>
      <c r="L30" s="69"/>
      <c r="P30" s="93" t="s">
        <v>35</v>
      </c>
      <c r="Q30" s="137">
        <v>6.93</v>
      </c>
      <c r="R30" s="5">
        <v>46086</v>
      </c>
      <c r="S30" s="169" t="s">
        <v>52</v>
      </c>
      <c r="T30" s="175" t="s">
        <v>522</v>
      </c>
    </row>
    <row r="31" spans="2:22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-75.789999999999992</v>
      </c>
      <c r="G31" s="134">
        <f>SUM(Tabela6151661218253239465346[[#This Row],[Valores]]+Tabela61516612182532394653[[#This Row],[Acumulado]])</f>
        <v>1.960000000000008</v>
      </c>
      <c r="H31" s="2"/>
      <c r="J31" s="96"/>
      <c r="N31" s="96"/>
      <c r="P31" s="147" t="s">
        <v>50</v>
      </c>
      <c r="Q31" s="137">
        <v>40.840000000000003</v>
      </c>
      <c r="R31" s="5">
        <v>46086</v>
      </c>
      <c r="S31" s="169" t="s">
        <v>555</v>
      </c>
      <c r="T31" s="175" t="s">
        <v>558</v>
      </c>
    </row>
    <row r="32" spans="2:22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-264.61</v>
      </c>
      <c r="G32" s="134">
        <f>SUM(Tabela6151661218253239465346[[#This Row],[Valores]]+Tabela61516612182532394653[[#This Row],[Acumulado]])</f>
        <v>-197.32000000000002</v>
      </c>
      <c r="H32" s="2"/>
      <c r="J32" s="37"/>
      <c r="P32" s="147" t="s">
        <v>35</v>
      </c>
      <c r="Q32" s="137">
        <v>12.93</v>
      </c>
      <c r="R32" s="5">
        <v>46087</v>
      </c>
      <c r="S32" s="169" t="s">
        <v>52</v>
      </c>
      <c r="T32" s="175" t="s">
        <v>522</v>
      </c>
    </row>
    <row r="33" spans="2:22" ht="15.75" customHeight="1" x14ac:dyDescent="0.2">
      <c r="B33" s="73"/>
      <c r="C33" s="74"/>
      <c r="D33" s="43"/>
      <c r="E33" s="58" t="s">
        <v>50</v>
      </c>
      <c r="F33" s="61">
        <f>C30-J27</f>
        <v>-118.06999999999994</v>
      </c>
      <c r="G33" s="134">
        <f>SUM(Tabela6151661218253239465346[[#This Row],[Valores]])</f>
        <v>-118.06999999999994</v>
      </c>
      <c r="H33" s="2"/>
      <c r="J33" s="354" t="s">
        <v>462</v>
      </c>
      <c r="K33" s="354"/>
      <c r="L33" s="354"/>
      <c r="M33" s="354"/>
      <c r="N33" s="354"/>
      <c r="P33" s="36" t="s">
        <v>59</v>
      </c>
      <c r="Q33" s="137">
        <v>25.4</v>
      </c>
      <c r="R33" s="5">
        <v>46087</v>
      </c>
      <c r="S33" s="169" t="s">
        <v>328</v>
      </c>
      <c r="T33" s="175" t="s">
        <v>531</v>
      </c>
    </row>
    <row r="34" spans="2:22" ht="15.75" customHeight="1" x14ac:dyDescent="0.35">
      <c r="B34" s="44"/>
      <c r="C34" s="44"/>
      <c r="D34" s="43"/>
      <c r="E34" s="43"/>
      <c r="F34" s="43"/>
      <c r="G34" s="141"/>
      <c r="H34" s="2"/>
      <c r="I34" s="155"/>
      <c r="J34" s="353" t="s">
        <v>460</v>
      </c>
      <c r="K34" s="353"/>
      <c r="L34" s="353"/>
      <c r="M34" s="353"/>
      <c r="N34" s="353"/>
      <c r="P34" s="147" t="s">
        <v>35</v>
      </c>
      <c r="Q34" s="137">
        <v>7.95</v>
      </c>
      <c r="R34" s="5">
        <v>46087</v>
      </c>
      <c r="S34" s="169" t="s">
        <v>52</v>
      </c>
      <c r="T34" s="175" t="s">
        <v>522</v>
      </c>
    </row>
    <row r="35" spans="2:22" ht="15.75" customHeight="1" x14ac:dyDescent="0.2">
      <c r="B35" s="37"/>
      <c r="C35" s="37"/>
      <c r="D35" s="37"/>
      <c r="E35" s="76" t="s">
        <v>79</v>
      </c>
      <c r="F35" s="77">
        <f>SUM(F25:F33)</f>
        <v>-620.36333333333369</v>
      </c>
      <c r="G35" s="70">
        <f>SUM(G25:G33)</f>
        <v>420.6933333333327</v>
      </c>
      <c r="J35" s="353" t="s">
        <v>461</v>
      </c>
      <c r="K35" s="353"/>
      <c r="L35" s="353"/>
      <c r="M35" s="353"/>
      <c r="N35" s="353"/>
      <c r="P35" s="6" t="s">
        <v>59</v>
      </c>
      <c r="Q35" s="137">
        <v>20.9</v>
      </c>
      <c r="R35" s="5">
        <v>46087</v>
      </c>
      <c r="S35" s="169" t="s">
        <v>529</v>
      </c>
      <c r="T35" s="175" t="s">
        <v>531</v>
      </c>
    </row>
    <row r="36" spans="2:22" ht="15.75" customHeight="1" x14ac:dyDescent="0.2">
      <c r="C36" s="69"/>
      <c r="F36" s="69"/>
      <c r="P36" s="147" t="s">
        <v>32</v>
      </c>
      <c r="Q36" s="137">
        <v>289.19</v>
      </c>
      <c r="R36" s="5">
        <v>46088</v>
      </c>
      <c r="S36" s="169" t="s">
        <v>526</v>
      </c>
      <c r="T36" s="175" t="s">
        <v>533</v>
      </c>
      <c r="U36" s="230"/>
      <c r="V36" s="230"/>
    </row>
    <row r="37" spans="2:22" ht="12.75" customHeight="1" x14ac:dyDescent="0.2">
      <c r="F37" s="69"/>
      <c r="P37" s="147" t="s">
        <v>32</v>
      </c>
      <c r="Q37" s="137">
        <v>102.48</v>
      </c>
      <c r="R37" s="5">
        <v>46088</v>
      </c>
      <c r="S37" s="169" t="s">
        <v>527</v>
      </c>
      <c r="T37" s="175" t="s">
        <v>534</v>
      </c>
      <c r="U37" s="230"/>
      <c r="V37" s="230"/>
    </row>
    <row r="38" spans="2:22" ht="13.5" customHeight="1" x14ac:dyDescent="0.2">
      <c r="B38" s="351" t="s">
        <v>416</v>
      </c>
      <c r="C38" s="352"/>
      <c r="G38" s="69"/>
      <c r="P38" s="147" t="s">
        <v>33</v>
      </c>
      <c r="Q38" s="137">
        <v>40</v>
      </c>
      <c r="R38" s="5">
        <v>46088</v>
      </c>
      <c r="S38" s="169" t="s">
        <v>100</v>
      </c>
      <c r="T38" s="175" t="s">
        <v>558</v>
      </c>
      <c r="U38" s="230"/>
      <c r="V38" s="230"/>
    </row>
    <row r="39" spans="2:22" ht="15.75" customHeight="1" x14ac:dyDescent="0.2">
      <c r="B39" s="237" t="s">
        <v>419</v>
      </c>
      <c r="C39" s="238">
        <f>SUMIFS(Q3:Q147,Tabela17111419263340475447[Método],"LATAM")</f>
        <v>7165.97</v>
      </c>
      <c r="F39" s="69"/>
      <c r="I39" s="69"/>
      <c r="P39" s="253" t="s">
        <v>39</v>
      </c>
      <c r="Q39" s="240">
        <v>48.49</v>
      </c>
      <c r="R39" s="241">
        <v>46088</v>
      </c>
      <c r="S39" s="242" t="s">
        <v>561</v>
      </c>
      <c r="T39" s="247" t="s">
        <v>418</v>
      </c>
      <c r="U39" s="230"/>
      <c r="V39" s="230"/>
    </row>
    <row r="40" spans="2:22" ht="15.75" customHeight="1" x14ac:dyDescent="0.2">
      <c r="C40" s="69"/>
      <c r="P40" s="6" t="s">
        <v>59</v>
      </c>
      <c r="Q40" s="137">
        <v>9.89</v>
      </c>
      <c r="R40" s="5">
        <v>46089</v>
      </c>
      <c r="S40" s="169" t="s">
        <v>267</v>
      </c>
      <c r="T40" s="175" t="s">
        <v>531</v>
      </c>
    </row>
    <row r="41" spans="2:22" ht="15.75" customHeight="1" x14ac:dyDescent="0.2">
      <c r="P41" s="147" t="s">
        <v>58</v>
      </c>
      <c r="Q41" s="137">
        <v>24.49</v>
      </c>
      <c r="R41" s="5">
        <v>46089</v>
      </c>
      <c r="S41" s="169" t="s">
        <v>554</v>
      </c>
      <c r="T41" s="175" t="s">
        <v>558</v>
      </c>
    </row>
    <row r="42" spans="2:22" ht="15.75" customHeight="1" x14ac:dyDescent="0.2">
      <c r="P42" s="147" t="s">
        <v>33</v>
      </c>
      <c r="Q42" s="137">
        <v>50</v>
      </c>
      <c r="R42" s="5">
        <v>46089</v>
      </c>
      <c r="S42" s="169" t="s">
        <v>559</v>
      </c>
      <c r="T42" s="175" t="s">
        <v>560</v>
      </c>
    </row>
    <row r="43" spans="2:22" ht="15.75" customHeight="1" x14ac:dyDescent="0.2">
      <c r="P43" s="147" t="s">
        <v>35</v>
      </c>
      <c r="Q43" s="137">
        <v>7.95</v>
      </c>
      <c r="R43" s="5">
        <v>46090</v>
      </c>
      <c r="S43" s="169" t="s">
        <v>52</v>
      </c>
      <c r="T43" s="175" t="s">
        <v>522</v>
      </c>
    </row>
    <row r="44" spans="2:22" ht="15.75" customHeight="1" x14ac:dyDescent="0.2">
      <c r="I44" s="269">
        <v>19800</v>
      </c>
      <c r="J44">
        <f>5000+8000+5678.89</f>
        <v>18678.89</v>
      </c>
      <c r="K44">
        <f>SUM(I44-J44)-470-470-20-24-100</f>
        <v>37.110000000000582</v>
      </c>
      <c r="P44" s="93" t="s">
        <v>35</v>
      </c>
      <c r="Q44" s="137">
        <v>7.93</v>
      </c>
      <c r="R44" s="5">
        <v>46090</v>
      </c>
      <c r="S44" s="169" t="s">
        <v>52</v>
      </c>
      <c r="T44" s="175" t="s">
        <v>522</v>
      </c>
    </row>
    <row r="45" spans="2:22" ht="15.75" customHeight="1" x14ac:dyDescent="0.2">
      <c r="K45" t="s">
        <v>563</v>
      </c>
      <c r="P45" s="36" t="s">
        <v>59</v>
      </c>
      <c r="Q45" s="137">
        <v>7</v>
      </c>
      <c r="R45" s="5">
        <v>46090</v>
      </c>
      <c r="S45" s="169" t="s">
        <v>210</v>
      </c>
      <c r="T45" s="175" t="s">
        <v>522</v>
      </c>
      <c r="V45" s="51"/>
    </row>
    <row r="46" spans="2:22" ht="15" customHeight="1" x14ac:dyDescent="0.2">
      <c r="N46" s="96"/>
      <c r="P46" s="93" t="s">
        <v>35</v>
      </c>
      <c r="Q46" s="137">
        <v>6.25</v>
      </c>
      <c r="R46" s="5">
        <v>46090</v>
      </c>
      <c r="S46" s="169" t="s">
        <v>206</v>
      </c>
      <c r="T46" s="175" t="s">
        <v>557</v>
      </c>
      <c r="U46" s="51"/>
      <c r="V46" s="51"/>
    </row>
    <row r="47" spans="2:22" ht="15.75" customHeight="1" x14ac:dyDescent="0.2">
      <c r="O47" s="96"/>
      <c r="P47" s="93" t="s">
        <v>35</v>
      </c>
      <c r="Q47" s="137">
        <v>100</v>
      </c>
      <c r="R47" s="5">
        <v>46091</v>
      </c>
      <c r="S47" s="169" t="s">
        <v>483</v>
      </c>
      <c r="T47" s="175" t="s">
        <v>522</v>
      </c>
    </row>
    <row r="48" spans="2:22" ht="15.75" customHeight="1" x14ac:dyDescent="0.2">
      <c r="F48" s="69">
        <f>C39-1591</f>
        <v>5574.97</v>
      </c>
      <c r="P48" s="93" t="s">
        <v>35</v>
      </c>
      <c r="Q48" s="137">
        <v>9.94</v>
      </c>
      <c r="R48" s="5">
        <v>46091</v>
      </c>
      <c r="S48" s="169" t="s">
        <v>52</v>
      </c>
      <c r="T48" s="175" t="s">
        <v>522</v>
      </c>
    </row>
    <row r="49" spans="13:20" ht="15.75" customHeight="1" x14ac:dyDescent="0.2">
      <c r="P49" s="93" t="s">
        <v>35</v>
      </c>
      <c r="Q49" s="137">
        <v>6.95</v>
      </c>
      <c r="R49" s="5">
        <v>46091</v>
      </c>
      <c r="S49" s="169" t="s">
        <v>52</v>
      </c>
      <c r="T49" s="175" t="s">
        <v>522</v>
      </c>
    </row>
    <row r="50" spans="13:20" ht="15.75" customHeight="1" x14ac:dyDescent="0.2">
      <c r="P50" s="93" t="s">
        <v>35</v>
      </c>
      <c r="Q50" s="137">
        <v>5</v>
      </c>
      <c r="R50" s="5">
        <v>46091</v>
      </c>
      <c r="S50" s="169" t="s">
        <v>544</v>
      </c>
      <c r="T50" s="175" t="s">
        <v>557</v>
      </c>
    </row>
    <row r="51" spans="13:20" ht="15.75" customHeight="1" x14ac:dyDescent="0.2">
      <c r="P51" s="93" t="s">
        <v>545</v>
      </c>
      <c r="Q51" s="137">
        <v>10</v>
      </c>
      <c r="R51" s="5">
        <v>46091</v>
      </c>
      <c r="S51" s="169" t="s">
        <v>250</v>
      </c>
      <c r="T51" s="175" t="s">
        <v>557</v>
      </c>
    </row>
    <row r="52" spans="13:20" ht="15.75" customHeight="1" x14ac:dyDescent="0.2">
      <c r="P52" s="93" t="s">
        <v>35</v>
      </c>
      <c r="Q52" s="137">
        <v>30</v>
      </c>
      <c r="R52" s="5">
        <v>46091</v>
      </c>
      <c r="S52" s="169" t="s">
        <v>546</v>
      </c>
      <c r="T52" s="175" t="s">
        <v>557</v>
      </c>
    </row>
    <row r="53" spans="13:20" ht="15.75" customHeight="1" x14ac:dyDescent="0.2">
      <c r="P53" s="93" t="s">
        <v>35</v>
      </c>
      <c r="Q53" s="137">
        <v>7.95</v>
      </c>
      <c r="R53" s="5">
        <v>46092</v>
      </c>
      <c r="S53" s="169" t="s">
        <v>52</v>
      </c>
      <c r="T53" s="175" t="s">
        <v>522</v>
      </c>
    </row>
    <row r="54" spans="13:20" ht="15.75" customHeight="1" x14ac:dyDescent="0.2">
      <c r="P54" s="93" t="s">
        <v>35</v>
      </c>
      <c r="Q54" s="137">
        <v>7.95</v>
      </c>
      <c r="R54" s="5">
        <v>46092</v>
      </c>
      <c r="S54" s="169" t="s">
        <v>52</v>
      </c>
      <c r="T54" s="175" t="s">
        <v>522</v>
      </c>
    </row>
    <row r="55" spans="13:20" ht="15.75" customHeight="1" x14ac:dyDescent="0.2">
      <c r="P55" s="36" t="s">
        <v>50</v>
      </c>
      <c r="Q55" s="137">
        <f>15.24+17.9+5.99+11.9</f>
        <v>51.03</v>
      </c>
      <c r="R55" s="5">
        <v>46092</v>
      </c>
      <c r="S55" s="169" t="s">
        <v>538</v>
      </c>
      <c r="T55" s="175" t="s">
        <v>531</v>
      </c>
    </row>
    <row r="56" spans="13:20" ht="15.75" customHeight="1" x14ac:dyDescent="0.2">
      <c r="P56" s="36" t="s">
        <v>59</v>
      </c>
      <c r="Q56" s="137">
        <f>15.9+20.9+5.95+4.79+4.72</f>
        <v>52.26</v>
      </c>
      <c r="R56" s="5">
        <v>46092</v>
      </c>
      <c r="S56" s="169" t="s">
        <v>538</v>
      </c>
      <c r="T56" s="175" t="s">
        <v>531</v>
      </c>
    </row>
    <row r="57" spans="13:20" ht="15.75" customHeight="1" x14ac:dyDescent="0.2">
      <c r="P57" s="36" t="s">
        <v>58</v>
      </c>
      <c r="Q57" s="137">
        <f>3.99+5.95</f>
        <v>9.9400000000000013</v>
      </c>
      <c r="R57" s="5">
        <v>46092</v>
      </c>
      <c r="S57" s="169" t="s">
        <v>538</v>
      </c>
      <c r="T57" s="175" t="s">
        <v>531</v>
      </c>
    </row>
    <row r="58" spans="13:20" ht="15.75" customHeight="1" x14ac:dyDescent="0.2">
      <c r="P58" s="93" t="s">
        <v>58</v>
      </c>
      <c r="Q58" s="137">
        <v>28.04</v>
      </c>
      <c r="R58" s="5">
        <v>46092</v>
      </c>
      <c r="S58" s="169" t="s">
        <v>547</v>
      </c>
      <c r="T58" s="175" t="s">
        <v>557</v>
      </c>
    </row>
    <row r="59" spans="13:20" ht="15.75" customHeight="1" x14ac:dyDescent="0.2">
      <c r="P59" s="253" t="s">
        <v>21</v>
      </c>
      <c r="Q59" s="240">
        <v>79.88</v>
      </c>
      <c r="R59" s="241">
        <v>46092</v>
      </c>
      <c r="S59" s="242" t="s">
        <v>551</v>
      </c>
      <c r="T59" s="247" t="s">
        <v>418</v>
      </c>
    </row>
    <row r="60" spans="13:20" ht="15.75" customHeight="1" x14ac:dyDescent="0.2">
      <c r="M60" t="s">
        <v>39</v>
      </c>
      <c r="O60" t="s">
        <v>39</v>
      </c>
      <c r="P60" s="93" t="s">
        <v>35</v>
      </c>
      <c r="Q60" s="137">
        <v>12.94</v>
      </c>
      <c r="R60" s="5">
        <v>46093</v>
      </c>
      <c r="S60" s="169" t="s">
        <v>52</v>
      </c>
      <c r="T60" s="175" t="s">
        <v>522</v>
      </c>
    </row>
    <row r="61" spans="13:20" ht="15.75" customHeight="1" x14ac:dyDescent="0.2">
      <c r="P61" s="36" t="s">
        <v>59</v>
      </c>
      <c r="Q61" s="137">
        <v>28.55</v>
      </c>
      <c r="R61" s="5">
        <v>46093</v>
      </c>
      <c r="S61" s="169" t="s">
        <v>180</v>
      </c>
      <c r="T61" s="175" t="s">
        <v>522</v>
      </c>
    </row>
    <row r="62" spans="13:20" ht="15.75" customHeight="1" x14ac:dyDescent="0.2">
      <c r="P62" s="93" t="s">
        <v>35</v>
      </c>
      <c r="Q62" s="137">
        <v>7.94</v>
      </c>
      <c r="R62" s="5">
        <v>46093</v>
      </c>
      <c r="S62" s="169" t="s">
        <v>52</v>
      </c>
      <c r="T62" s="175" t="s">
        <v>522</v>
      </c>
    </row>
    <row r="63" spans="13:20" ht="15.75" customHeight="1" x14ac:dyDescent="0.2">
      <c r="P63" s="36" t="s">
        <v>58</v>
      </c>
      <c r="Q63" s="137">
        <f>11.49+5.99+12.69+5.99</f>
        <v>36.160000000000004</v>
      </c>
      <c r="R63" s="5">
        <v>46093</v>
      </c>
      <c r="S63" s="169" t="s">
        <v>539</v>
      </c>
      <c r="T63" s="175" t="s">
        <v>531</v>
      </c>
    </row>
    <row r="64" spans="13:20" ht="15.75" customHeight="1" x14ac:dyDescent="0.2">
      <c r="P64" s="36" t="s">
        <v>59</v>
      </c>
      <c r="Q64" s="137">
        <f>12.9+15.9+11.04</f>
        <v>39.840000000000003</v>
      </c>
      <c r="R64" s="5">
        <v>46093</v>
      </c>
      <c r="S64" s="169" t="s">
        <v>539</v>
      </c>
      <c r="T64" s="175" t="s">
        <v>531</v>
      </c>
    </row>
    <row r="65" spans="16:20" ht="15.75" customHeight="1" x14ac:dyDescent="0.2">
      <c r="P65" s="36" t="s">
        <v>50</v>
      </c>
      <c r="Q65" s="137">
        <f>4.29+4.29</f>
        <v>8.58</v>
      </c>
      <c r="R65" s="5">
        <v>46093</v>
      </c>
      <c r="S65" s="169" t="s">
        <v>539</v>
      </c>
      <c r="T65" s="175" t="s">
        <v>531</v>
      </c>
    </row>
    <row r="66" spans="16:20" ht="15.75" customHeight="1" x14ac:dyDescent="0.2">
      <c r="P66" s="93" t="s">
        <v>35</v>
      </c>
      <c r="Q66" s="137">
        <v>7.95</v>
      </c>
      <c r="R66" s="5">
        <v>46094</v>
      </c>
      <c r="S66" s="169" t="s">
        <v>52</v>
      </c>
      <c r="T66" s="175" t="s">
        <v>522</v>
      </c>
    </row>
    <row r="67" spans="16:20" ht="15.75" customHeight="1" x14ac:dyDescent="0.2">
      <c r="P67" s="93" t="s">
        <v>35</v>
      </c>
      <c r="Q67" s="137">
        <v>20</v>
      </c>
      <c r="R67" s="5">
        <v>46094</v>
      </c>
      <c r="S67" s="169" t="s">
        <v>537</v>
      </c>
      <c r="T67" s="175" t="s">
        <v>522</v>
      </c>
    </row>
    <row r="68" spans="16:20" ht="15.75" customHeight="1" x14ac:dyDescent="0.2">
      <c r="P68" s="93" t="s">
        <v>35</v>
      </c>
      <c r="Q68" s="137">
        <v>8.99</v>
      </c>
      <c r="R68" s="5">
        <v>46094</v>
      </c>
      <c r="S68" s="169" t="s">
        <v>52</v>
      </c>
      <c r="T68" s="175" t="s">
        <v>522</v>
      </c>
    </row>
    <row r="69" spans="16:20" ht="15.75" customHeight="1" x14ac:dyDescent="0.2">
      <c r="P69" s="36" t="s">
        <v>50</v>
      </c>
      <c r="Q69" s="137">
        <f>7.29+5.49+38.9+3.89+19.9</f>
        <v>75.47</v>
      </c>
      <c r="R69" s="5">
        <v>46094</v>
      </c>
      <c r="S69" s="169" t="s">
        <v>540</v>
      </c>
      <c r="T69" s="175" t="s">
        <v>531</v>
      </c>
    </row>
    <row r="70" spans="16:20" ht="15.75" customHeight="1" x14ac:dyDescent="0.2">
      <c r="P70" s="36" t="s">
        <v>59</v>
      </c>
      <c r="Q70" s="137">
        <v>24.9</v>
      </c>
      <c r="R70" s="5">
        <v>46094</v>
      </c>
      <c r="S70" s="169" t="s">
        <v>540</v>
      </c>
      <c r="T70" s="175" t="s">
        <v>531</v>
      </c>
    </row>
    <row r="71" spans="16:20" ht="15.75" customHeight="1" x14ac:dyDescent="0.2">
      <c r="P71" s="264" t="s">
        <v>39</v>
      </c>
      <c r="Q71" s="265">
        <v>20</v>
      </c>
      <c r="R71" s="266">
        <v>46095</v>
      </c>
      <c r="S71" s="267" t="s">
        <v>548</v>
      </c>
      <c r="T71" s="268" t="s">
        <v>557</v>
      </c>
    </row>
    <row r="72" spans="16:20" ht="15.75" customHeight="1" x14ac:dyDescent="0.2">
      <c r="P72" s="36" t="s">
        <v>50</v>
      </c>
      <c r="Q72" s="137">
        <f>38.26-17.36</f>
        <v>20.9</v>
      </c>
      <c r="R72" s="5">
        <v>46095</v>
      </c>
      <c r="S72" s="169" t="s">
        <v>541</v>
      </c>
      <c r="T72" s="175" t="s">
        <v>531</v>
      </c>
    </row>
    <row r="73" spans="16:20" ht="15.75" customHeight="1" x14ac:dyDescent="0.2">
      <c r="P73" s="36" t="s">
        <v>59</v>
      </c>
      <c r="Q73" s="137">
        <f>38.26-15.9-5</f>
        <v>17.36</v>
      </c>
      <c r="R73" s="5">
        <v>46095</v>
      </c>
      <c r="S73" s="169" t="s">
        <v>541</v>
      </c>
      <c r="T73" s="175" t="s">
        <v>531</v>
      </c>
    </row>
    <row r="74" spans="16:20" ht="15.75" customHeight="1" x14ac:dyDescent="0.2">
      <c r="P74" s="36" t="s">
        <v>59</v>
      </c>
      <c r="Q74" s="137">
        <v>6.98</v>
      </c>
      <c r="R74" s="5">
        <v>46095</v>
      </c>
      <c r="S74" s="169" t="s">
        <v>238</v>
      </c>
      <c r="T74" s="175" t="s">
        <v>531</v>
      </c>
    </row>
    <row r="75" spans="16:20" ht="15.75" customHeight="1" x14ac:dyDescent="0.2">
      <c r="P75" s="93" t="s">
        <v>21</v>
      </c>
      <c r="Q75" s="137">
        <v>43.8</v>
      </c>
      <c r="R75" s="5">
        <v>46095</v>
      </c>
      <c r="S75" s="169" t="s">
        <v>549</v>
      </c>
      <c r="T75" s="175" t="s">
        <v>557</v>
      </c>
    </row>
    <row r="76" spans="16:20" ht="15.75" customHeight="1" x14ac:dyDescent="0.2">
      <c r="P76" s="253" t="s">
        <v>21</v>
      </c>
      <c r="Q76" s="240">
        <v>39.72</v>
      </c>
      <c r="R76" s="241">
        <v>46095</v>
      </c>
      <c r="S76" s="242" t="s">
        <v>550</v>
      </c>
      <c r="T76" s="247" t="s">
        <v>418</v>
      </c>
    </row>
    <row r="77" spans="16:20" ht="15.75" customHeight="1" x14ac:dyDescent="0.2">
      <c r="P77" s="253" t="s">
        <v>39</v>
      </c>
      <c r="Q77" s="240">
        <v>76</v>
      </c>
      <c r="R77" s="241">
        <v>46095</v>
      </c>
      <c r="S77" s="242" t="s">
        <v>198</v>
      </c>
      <c r="T77" s="247" t="s">
        <v>418</v>
      </c>
    </row>
    <row r="78" spans="16:20" ht="15.75" customHeight="1" x14ac:dyDescent="0.2">
      <c r="P78" s="253" t="s">
        <v>39</v>
      </c>
      <c r="Q78" s="240">
        <v>128</v>
      </c>
      <c r="R78" s="241">
        <v>46095</v>
      </c>
      <c r="S78" s="242" t="s">
        <v>14</v>
      </c>
      <c r="T78" s="247" t="s">
        <v>418</v>
      </c>
    </row>
    <row r="79" spans="16:20" ht="15.75" customHeight="1" x14ac:dyDescent="0.2">
      <c r="P79" s="264" t="s">
        <v>39</v>
      </c>
      <c r="Q79" s="265">
        <v>24.26</v>
      </c>
      <c r="R79" s="266">
        <v>46095</v>
      </c>
      <c r="S79" s="267" t="s">
        <v>562</v>
      </c>
      <c r="T79" s="268" t="s">
        <v>557</v>
      </c>
    </row>
    <row r="80" spans="16:20" ht="15.75" customHeight="1" x14ac:dyDescent="0.2">
      <c r="P80" s="264" t="s">
        <v>39</v>
      </c>
      <c r="Q80" s="265">
        <v>5678.89</v>
      </c>
      <c r="R80" s="266">
        <v>46095</v>
      </c>
      <c r="S80" s="267"/>
      <c r="T80" s="268" t="s">
        <v>418</v>
      </c>
    </row>
    <row r="81" spans="14:20" ht="15.75" customHeight="1" x14ac:dyDescent="0.2">
      <c r="P81" s="253" t="s">
        <v>33</v>
      </c>
      <c r="Q81" s="240">
        <v>111.4</v>
      </c>
      <c r="R81" s="241">
        <v>46095</v>
      </c>
      <c r="S81" s="242" t="s">
        <v>566</v>
      </c>
      <c r="T81" s="247" t="s">
        <v>418</v>
      </c>
    </row>
    <row r="82" spans="14:20" ht="15.75" customHeight="1" x14ac:dyDescent="0.2">
      <c r="P82" s="253" t="s">
        <v>33</v>
      </c>
      <c r="Q82" s="240">
        <v>52</v>
      </c>
      <c r="R82" s="241">
        <v>46096</v>
      </c>
      <c r="S82" s="242" t="s">
        <v>567</v>
      </c>
      <c r="T82" s="247" t="s">
        <v>418</v>
      </c>
    </row>
    <row r="83" spans="14:20" ht="15.75" customHeight="1" x14ac:dyDescent="0.2">
      <c r="P83" s="253" t="s">
        <v>33</v>
      </c>
      <c r="Q83" s="240">
        <v>106.12</v>
      </c>
      <c r="R83" s="241">
        <v>46096</v>
      </c>
      <c r="S83" s="242" t="s">
        <v>566</v>
      </c>
      <c r="T83" s="247" t="s">
        <v>418</v>
      </c>
    </row>
    <row r="84" spans="14:20" ht="15.75" customHeight="1" x14ac:dyDescent="0.2">
      <c r="P84" s="253" t="s">
        <v>19</v>
      </c>
      <c r="Q84" s="240">
        <v>18.989999999999998</v>
      </c>
      <c r="R84" s="241">
        <v>46096</v>
      </c>
      <c r="S84" s="242" t="s">
        <v>568</v>
      </c>
      <c r="T84" s="247" t="s">
        <v>418</v>
      </c>
    </row>
    <row r="85" spans="14:20" ht="15.75" customHeight="1" x14ac:dyDescent="0.2">
      <c r="P85" s="264" t="s">
        <v>39</v>
      </c>
      <c r="Q85" s="265">
        <v>100</v>
      </c>
      <c r="R85" s="266">
        <v>46097</v>
      </c>
      <c r="S85" s="267" t="s">
        <v>565</v>
      </c>
      <c r="T85" s="268"/>
    </row>
    <row r="86" spans="14:20" ht="15.75" customHeight="1" x14ac:dyDescent="0.2">
      <c r="P86" s="93" t="s">
        <v>33</v>
      </c>
      <c r="Q86" s="137">
        <v>50</v>
      </c>
      <c r="R86" s="5">
        <v>46097</v>
      </c>
      <c r="S86" s="169" t="s">
        <v>573</v>
      </c>
      <c r="T86" s="175"/>
    </row>
    <row r="87" spans="14:20" ht="15.75" customHeight="1" x14ac:dyDescent="0.2">
      <c r="P87" s="93" t="s">
        <v>35</v>
      </c>
      <c r="Q87" s="137">
        <v>74.84</v>
      </c>
      <c r="R87" s="5">
        <v>46097</v>
      </c>
      <c r="S87" s="169" t="s">
        <v>574</v>
      </c>
      <c r="T87" s="175"/>
    </row>
    <row r="88" spans="14:20" ht="15.75" customHeight="1" x14ac:dyDescent="0.2">
      <c r="N88" s="69"/>
      <c r="P88" s="93" t="s">
        <v>35</v>
      </c>
      <c r="Q88" s="137">
        <v>11.95</v>
      </c>
      <c r="R88" s="5">
        <v>46097</v>
      </c>
      <c r="S88" s="169" t="s">
        <v>209</v>
      </c>
      <c r="T88" s="175" t="s">
        <v>522</v>
      </c>
    </row>
    <row r="89" spans="14:20" ht="15.75" customHeight="1" x14ac:dyDescent="0.2">
      <c r="P89" s="93" t="s">
        <v>35</v>
      </c>
      <c r="Q89" s="137">
        <v>7.94</v>
      </c>
      <c r="R89" s="5">
        <v>46097</v>
      </c>
      <c r="S89" s="169" t="s">
        <v>209</v>
      </c>
      <c r="T89" s="175" t="s">
        <v>522</v>
      </c>
    </row>
    <row r="90" spans="14:20" ht="15.75" customHeight="1" x14ac:dyDescent="0.2">
      <c r="P90" s="93" t="s">
        <v>35</v>
      </c>
      <c r="Q90" s="137">
        <v>7.93</v>
      </c>
      <c r="R90" s="5">
        <v>46098</v>
      </c>
      <c r="S90" s="169" t="s">
        <v>209</v>
      </c>
      <c r="T90" s="175" t="s">
        <v>522</v>
      </c>
    </row>
    <row r="91" spans="14:20" ht="15.75" customHeight="1" x14ac:dyDescent="0.2">
      <c r="P91" s="93" t="s">
        <v>35</v>
      </c>
      <c r="Q91" s="137">
        <v>8.9600000000000009</v>
      </c>
      <c r="R91" s="5">
        <v>46098</v>
      </c>
      <c r="S91" s="169" t="s">
        <v>209</v>
      </c>
      <c r="T91" s="175" t="s">
        <v>522</v>
      </c>
    </row>
    <row r="92" spans="14:20" ht="15.75" customHeight="1" x14ac:dyDescent="0.2">
      <c r="P92" s="93" t="s">
        <v>35</v>
      </c>
      <c r="Q92" s="137">
        <v>20</v>
      </c>
      <c r="R92" s="5">
        <v>46099</v>
      </c>
      <c r="S92" s="169" t="s">
        <v>564</v>
      </c>
      <c r="T92" s="175"/>
    </row>
    <row r="93" spans="14:20" ht="15.75" customHeight="1" x14ac:dyDescent="0.2">
      <c r="P93" s="253" t="s">
        <v>21</v>
      </c>
      <c r="Q93" s="240">
        <v>41.27</v>
      </c>
      <c r="R93" s="241">
        <v>46099</v>
      </c>
      <c r="S93" s="242" t="s">
        <v>67</v>
      </c>
      <c r="T93" s="247" t="s">
        <v>418</v>
      </c>
    </row>
    <row r="94" spans="14:20" ht="15.75" customHeight="1" x14ac:dyDescent="0.2">
      <c r="P94" s="253" t="s">
        <v>58</v>
      </c>
      <c r="Q94" s="240">
        <v>18.5</v>
      </c>
      <c r="R94" s="241">
        <v>46099</v>
      </c>
      <c r="S94" s="242" t="s">
        <v>569</v>
      </c>
      <c r="T94" s="247" t="s">
        <v>418</v>
      </c>
    </row>
    <row r="95" spans="14:20" ht="15.75" customHeight="1" x14ac:dyDescent="0.2">
      <c r="P95" s="93" t="s">
        <v>35</v>
      </c>
      <c r="Q95" s="137">
        <v>7.94</v>
      </c>
      <c r="R95" s="5">
        <v>46099</v>
      </c>
      <c r="S95" s="169" t="s">
        <v>209</v>
      </c>
      <c r="T95" s="175"/>
    </row>
    <row r="96" spans="14:20" ht="15.75" customHeight="1" x14ac:dyDescent="0.2">
      <c r="P96" s="93" t="s">
        <v>35</v>
      </c>
      <c r="Q96" s="137">
        <v>7.94</v>
      </c>
      <c r="R96" s="5">
        <v>46099</v>
      </c>
      <c r="S96" s="169" t="s">
        <v>209</v>
      </c>
      <c r="T96" s="175"/>
    </row>
    <row r="97" spans="16:20" ht="15.75" customHeight="1" x14ac:dyDescent="0.2">
      <c r="P97" s="36" t="s">
        <v>50</v>
      </c>
      <c r="Q97" s="137">
        <f>12.7+19.9+2.03+8.99+16.72+10.9</f>
        <v>71.239999999999995</v>
      </c>
      <c r="R97" s="5">
        <v>46099</v>
      </c>
      <c r="S97" s="169" t="s">
        <v>578</v>
      </c>
      <c r="T97" s="175"/>
    </row>
    <row r="98" spans="16:20" ht="15.75" customHeight="1" x14ac:dyDescent="0.2">
      <c r="P98" s="36" t="s">
        <v>59</v>
      </c>
      <c r="Q98" s="137">
        <f>4.49+4.79+4.79+0.5</f>
        <v>14.57</v>
      </c>
      <c r="R98" s="5">
        <v>46099</v>
      </c>
      <c r="S98" s="169" t="s">
        <v>578</v>
      </c>
      <c r="T98" s="175"/>
    </row>
    <row r="99" spans="16:20" ht="15.75" customHeight="1" x14ac:dyDescent="0.2">
      <c r="P99" s="253" t="s">
        <v>21</v>
      </c>
      <c r="Q99" s="240">
        <v>76.84</v>
      </c>
      <c r="R99" s="241">
        <v>46100</v>
      </c>
      <c r="S99" s="242" t="s">
        <v>570</v>
      </c>
      <c r="T99" s="247" t="s">
        <v>418</v>
      </c>
    </row>
    <row r="100" spans="16:20" ht="15.75" customHeight="1" x14ac:dyDescent="0.2">
      <c r="P100" s="93" t="s">
        <v>35</v>
      </c>
      <c r="Q100" s="137">
        <v>4.96</v>
      </c>
      <c r="R100" s="5">
        <v>46100</v>
      </c>
      <c r="S100" s="169" t="s">
        <v>209</v>
      </c>
      <c r="T100" s="175"/>
    </row>
    <row r="101" spans="16:20" ht="15.75" customHeight="1" x14ac:dyDescent="0.2">
      <c r="P101" s="93" t="s">
        <v>35</v>
      </c>
      <c r="Q101" s="137">
        <v>9.93</v>
      </c>
      <c r="R101" s="5">
        <v>46100</v>
      </c>
      <c r="S101" s="169" t="s">
        <v>209</v>
      </c>
      <c r="T101" s="175"/>
    </row>
    <row r="102" spans="16:20" ht="15.75" customHeight="1" x14ac:dyDescent="0.2">
      <c r="P102" s="253" t="s">
        <v>58</v>
      </c>
      <c r="Q102" s="240">
        <v>20</v>
      </c>
      <c r="R102" s="241">
        <v>46101</v>
      </c>
      <c r="S102" s="242" t="s">
        <v>571</v>
      </c>
      <c r="T102" s="247" t="s">
        <v>418</v>
      </c>
    </row>
    <row r="103" spans="16:20" ht="15.75" customHeight="1" x14ac:dyDescent="0.2">
      <c r="P103" s="253" t="s">
        <v>21</v>
      </c>
      <c r="Q103" s="240">
        <v>110</v>
      </c>
      <c r="R103" s="241">
        <v>46101</v>
      </c>
      <c r="S103" s="242" t="s">
        <v>572</v>
      </c>
      <c r="T103" s="247" t="s">
        <v>418</v>
      </c>
    </row>
    <row r="104" spans="16:20" ht="15.75" customHeight="1" x14ac:dyDescent="0.2">
      <c r="P104" s="93" t="s">
        <v>35</v>
      </c>
      <c r="Q104" s="137">
        <v>7.94</v>
      </c>
      <c r="R104" s="5">
        <v>46101</v>
      </c>
      <c r="S104" s="169" t="s">
        <v>209</v>
      </c>
      <c r="T104" s="175"/>
    </row>
    <row r="105" spans="16:20" ht="15.75" customHeight="1" x14ac:dyDescent="0.2">
      <c r="P105" s="36" t="s">
        <v>59</v>
      </c>
      <c r="Q105" s="137">
        <v>4.5</v>
      </c>
      <c r="R105" s="5">
        <v>46101</v>
      </c>
      <c r="S105" s="169" t="s">
        <v>575</v>
      </c>
      <c r="T105" s="175"/>
    </row>
    <row r="106" spans="16:20" ht="15.75" customHeight="1" x14ac:dyDescent="0.2">
      <c r="P106" s="36" t="s">
        <v>59</v>
      </c>
      <c r="Q106" s="137">
        <v>7</v>
      </c>
      <c r="R106" s="5">
        <v>46101</v>
      </c>
      <c r="S106" s="169" t="s">
        <v>339</v>
      </c>
      <c r="T106" s="175"/>
    </row>
    <row r="107" spans="16:20" ht="15.75" customHeight="1" x14ac:dyDescent="0.2">
      <c r="P107" s="93" t="s">
        <v>35</v>
      </c>
      <c r="Q107" s="137">
        <v>8.93</v>
      </c>
      <c r="R107" s="5">
        <v>46101</v>
      </c>
      <c r="S107" s="169" t="s">
        <v>209</v>
      </c>
      <c r="T107" s="175"/>
    </row>
    <row r="108" spans="16:20" ht="15.75" customHeight="1" x14ac:dyDescent="0.2">
      <c r="P108" s="36" t="s">
        <v>59</v>
      </c>
      <c r="Q108" s="137">
        <v>14.9</v>
      </c>
      <c r="R108" s="5">
        <v>46101</v>
      </c>
      <c r="S108" s="169" t="s">
        <v>576</v>
      </c>
      <c r="T108" s="175"/>
    </row>
    <row r="109" spans="16:20" ht="15.75" customHeight="1" x14ac:dyDescent="0.2">
      <c r="P109" s="36" t="s">
        <v>59</v>
      </c>
      <c r="Q109" s="137">
        <v>22.48</v>
      </c>
      <c r="R109" s="5">
        <v>46101</v>
      </c>
      <c r="S109" s="169" t="s">
        <v>577</v>
      </c>
      <c r="T109" s="175"/>
    </row>
    <row r="110" spans="16:20" ht="15.75" customHeight="1" x14ac:dyDescent="0.2">
      <c r="P110" s="253" t="s">
        <v>58</v>
      </c>
      <c r="Q110" s="240">
        <v>40</v>
      </c>
      <c r="R110" s="241">
        <v>46102</v>
      </c>
      <c r="S110" s="242" t="s">
        <v>268</v>
      </c>
      <c r="T110" s="247" t="s">
        <v>418</v>
      </c>
    </row>
    <row r="111" spans="16:20" ht="15.75" customHeight="1" x14ac:dyDescent="0.2">
      <c r="P111" s="253" t="s">
        <v>50</v>
      </c>
      <c r="Q111" s="240">
        <f>235.01</f>
        <v>235.01</v>
      </c>
      <c r="R111" s="241">
        <v>46103</v>
      </c>
      <c r="S111" s="242" t="s">
        <v>581</v>
      </c>
      <c r="T111" s="247" t="s">
        <v>418</v>
      </c>
    </row>
    <row r="112" spans="16:20" ht="15.75" customHeight="1" x14ac:dyDescent="0.2">
      <c r="P112" s="93" t="s">
        <v>33</v>
      </c>
      <c r="Q112" s="137">
        <v>16.87</v>
      </c>
      <c r="R112" s="5">
        <v>46103</v>
      </c>
      <c r="S112" s="169" t="s">
        <v>582</v>
      </c>
      <c r="T112" s="175"/>
    </row>
    <row r="113" spans="16:20" ht="15.75" customHeight="1" x14ac:dyDescent="0.2">
      <c r="P113" s="93" t="s">
        <v>33</v>
      </c>
      <c r="Q113" s="137">
        <v>55.74</v>
      </c>
      <c r="R113" s="5">
        <v>46103</v>
      </c>
      <c r="S113" s="169" t="s">
        <v>584</v>
      </c>
      <c r="T113" s="175"/>
    </row>
    <row r="114" spans="16:20" ht="15.75" customHeight="1" x14ac:dyDescent="0.2">
      <c r="P114" s="253" t="s">
        <v>39</v>
      </c>
      <c r="Q114" s="240">
        <v>30</v>
      </c>
      <c r="R114" s="241">
        <v>46103</v>
      </c>
      <c r="S114" s="242" t="s">
        <v>537</v>
      </c>
      <c r="T114" s="247" t="s">
        <v>418</v>
      </c>
    </row>
    <row r="115" spans="16:20" ht="15.75" customHeight="1" x14ac:dyDescent="0.2">
      <c r="P115" s="36" t="s">
        <v>50</v>
      </c>
      <c r="Q115" s="137">
        <v>100</v>
      </c>
      <c r="R115" s="5">
        <v>46103</v>
      </c>
      <c r="S115" s="169" t="s">
        <v>581</v>
      </c>
      <c r="T115" s="175"/>
    </row>
    <row r="116" spans="16:20" ht="15.75" customHeight="1" x14ac:dyDescent="0.2">
      <c r="P116" s="93" t="s">
        <v>35</v>
      </c>
      <c r="Q116" s="137">
        <v>7.95</v>
      </c>
      <c r="R116" s="5">
        <v>46104</v>
      </c>
      <c r="S116" s="169" t="s">
        <v>209</v>
      </c>
      <c r="T116" s="175"/>
    </row>
    <row r="117" spans="16:20" ht="15.75" customHeight="1" x14ac:dyDescent="0.2">
      <c r="P117" s="93" t="s">
        <v>35</v>
      </c>
      <c r="Q117" s="137">
        <v>7.94</v>
      </c>
      <c r="R117" s="5">
        <v>46104</v>
      </c>
      <c r="S117" s="169" t="s">
        <v>209</v>
      </c>
      <c r="T117" s="175"/>
    </row>
    <row r="118" spans="16:20" ht="15.75" customHeight="1" x14ac:dyDescent="0.2">
      <c r="P118" s="264" t="s">
        <v>39</v>
      </c>
      <c r="Q118" s="265">
        <v>469.91</v>
      </c>
      <c r="R118" s="266">
        <v>46104</v>
      </c>
      <c r="S118" s="267" t="s">
        <v>583</v>
      </c>
      <c r="T118" s="268"/>
    </row>
    <row r="119" spans="16:20" ht="15.75" customHeight="1" x14ac:dyDescent="0.2">
      <c r="P119" s="93" t="s">
        <v>35</v>
      </c>
      <c r="Q119" s="137">
        <v>137.79</v>
      </c>
      <c r="R119" s="5">
        <v>46105</v>
      </c>
      <c r="S119" s="169" t="s">
        <v>579</v>
      </c>
      <c r="T119" s="175"/>
    </row>
    <row r="120" spans="16:20" ht="15.75" customHeight="1" x14ac:dyDescent="0.2">
      <c r="P120" s="93" t="s">
        <v>35</v>
      </c>
      <c r="Q120" s="137">
        <v>7.94</v>
      </c>
      <c r="R120" s="5">
        <v>46105</v>
      </c>
      <c r="S120" s="169" t="s">
        <v>209</v>
      </c>
      <c r="T120" s="175"/>
    </row>
    <row r="121" spans="16:20" ht="15.75" customHeight="1" x14ac:dyDescent="0.2">
      <c r="P121" s="93" t="s">
        <v>35</v>
      </c>
      <c r="Q121" s="137">
        <v>7.94</v>
      </c>
      <c r="R121" s="5">
        <v>46105</v>
      </c>
      <c r="S121" s="169" t="s">
        <v>209</v>
      </c>
      <c r="T121" s="175"/>
    </row>
    <row r="122" spans="16:20" ht="15.75" customHeight="1" x14ac:dyDescent="0.2">
      <c r="P122" s="93" t="s">
        <v>35</v>
      </c>
      <c r="Q122" s="137">
        <v>7.95</v>
      </c>
      <c r="R122" s="5">
        <v>46106</v>
      </c>
      <c r="S122" s="169" t="s">
        <v>209</v>
      </c>
      <c r="T122" s="175"/>
    </row>
    <row r="123" spans="16:20" ht="15.75" customHeight="1" x14ac:dyDescent="0.2">
      <c r="P123" s="93" t="s">
        <v>35</v>
      </c>
      <c r="Q123" s="137">
        <v>7.95</v>
      </c>
      <c r="R123" s="5">
        <v>46106</v>
      </c>
      <c r="S123" s="169" t="s">
        <v>209</v>
      </c>
      <c r="T123" s="175"/>
    </row>
    <row r="124" spans="16:20" ht="15.75" customHeight="1" x14ac:dyDescent="0.2">
      <c r="P124" s="93" t="s">
        <v>35</v>
      </c>
      <c r="Q124" s="137">
        <v>7.95</v>
      </c>
      <c r="R124" s="5">
        <v>46106</v>
      </c>
      <c r="S124" s="169" t="s">
        <v>209</v>
      </c>
      <c r="T124" s="175"/>
    </row>
    <row r="125" spans="16:20" ht="15.75" customHeight="1" x14ac:dyDescent="0.2">
      <c r="P125" s="93" t="s">
        <v>35</v>
      </c>
      <c r="Q125" s="137">
        <v>7.94</v>
      </c>
      <c r="R125" s="5">
        <v>46107</v>
      </c>
      <c r="S125" s="169" t="s">
        <v>209</v>
      </c>
      <c r="T125" s="175"/>
    </row>
    <row r="126" spans="16:20" ht="15.75" customHeight="1" x14ac:dyDescent="0.2">
      <c r="P126" s="93" t="s">
        <v>35</v>
      </c>
      <c r="Q126" s="137">
        <v>7.94</v>
      </c>
      <c r="R126" s="5">
        <v>46107</v>
      </c>
      <c r="S126" s="169" t="s">
        <v>209</v>
      </c>
      <c r="T126" s="175"/>
    </row>
    <row r="127" spans="16:20" ht="15.75" customHeight="1" x14ac:dyDescent="0.2">
      <c r="P127" s="36" t="s">
        <v>59</v>
      </c>
      <c r="Q127" s="137">
        <v>20.2</v>
      </c>
      <c r="R127" s="5">
        <v>46107</v>
      </c>
      <c r="S127" s="169" t="s">
        <v>487</v>
      </c>
      <c r="T127" s="175"/>
    </row>
    <row r="128" spans="16:20" ht="15.75" customHeight="1" x14ac:dyDescent="0.2">
      <c r="P128" s="36" t="s">
        <v>19</v>
      </c>
      <c r="Q128" s="137">
        <v>37.9</v>
      </c>
      <c r="R128" s="5">
        <v>46108</v>
      </c>
      <c r="S128" s="169" t="s">
        <v>478</v>
      </c>
      <c r="T128" s="175"/>
    </row>
    <row r="129" spans="16:20" ht="15.75" customHeight="1" x14ac:dyDescent="0.2">
      <c r="P129" s="93" t="s">
        <v>35</v>
      </c>
      <c r="Q129" s="137">
        <v>7.95</v>
      </c>
      <c r="R129" s="5">
        <v>46108</v>
      </c>
      <c r="S129" s="169" t="s">
        <v>209</v>
      </c>
      <c r="T129" s="175"/>
    </row>
    <row r="130" spans="16:20" ht="15.75" customHeight="1" x14ac:dyDescent="0.2">
      <c r="P130" s="93" t="s">
        <v>35</v>
      </c>
      <c r="Q130" s="137">
        <v>7.95</v>
      </c>
      <c r="R130" s="5">
        <v>46108</v>
      </c>
      <c r="S130" s="169" t="s">
        <v>209</v>
      </c>
      <c r="T130" s="175"/>
    </row>
    <row r="131" spans="16:20" ht="15.75" customHeight="1" x14ac:dyDescent="0.2">
      <c r="P131" s="240" t="s">
        <v>58</v>
      </c>
      <c r="Q131" s="240">
        <v>9</v>
      </c>
      <c r="R131" s="241">
        <v>46108</v>
      </c>
      <c r="S131" s="242" t="s">
        <v>580</v>
      </c>
      <c r="T131" s="247" t="s">
        <v>418</v>
      </c>
    </row>
    <row r="132" spans="16:20" ht="15.75" customHeight="1" x14ac:dyDescent="0.2">
      <c r="P132" s="93" t="s">
        <v>35</v>
      </c>
      <c r="Q132" s="137">
        <v>15.67</v>
      </c>
      <c r="R132" s="5">
        <v>46108</v>
      </c>
      <c r="S132" s="169" t="s">
        <v>329</v>
      </c>
      <c r="T132" s="175"/>
    </row>
    <row r="133" spans="16:20" ht="15.75" customHeight="1" x14ac:dyDescent="0.2">
      <c r="P133" s="93" t="s">
        <v>58</v>
      </c>
      <c r="Q133" s="137">
        <v>15</v>
      </c>
      <c r="R133" s="5">
        <v>46109</v>
      </c>
      <c r="S133" s="169" t="s">
        <v>476</v>
      </c>
      <c r="T133" s="175"/>
    </row>
    <row r="134" spans="16:20" ht="15.75" customHeight="1" x14ac:dyDescent="0.2">
      <c r="P134" s="93" t="s">
        <v>58</v>
      </c>
      <c r="Q134" s="137">
        <v>26.87</v>
      </c>
      <c r="R134" s="5">
        <v>46109</v>
      </c>
      <c r="S134" s="169" t="s">
        <v>585</v>
      </c>
      <c r="T134" s="175"/>
    </row>
    <row r="135" spans="16:20" ht="15.75" customHeight="1" x14ac:dyDescent="0.2">
      <c r="P135" s="93"/>
      <c r="Q135" s="93"/>
      <c r="R135" s="93"/>
      <c r="S135" s="93"/>
      <c r="T135" s="175"/>
    </row>
    <row r="136" spans="16:20" ht="15.75" customHeight="1" x14ac:dyDescent="0.2">
      <c r="P136" s="175"/>
      <c r="Q136" s="175"/>
      <c r="R136" s="175"/>
      <c r="S136" s="175"/>
      <c r="T136" s="175"/>
    </row>
    <row r="137" spans="16:20" ht="15.75" customHeight="1" x14ac:dyDescent="0.2">
      <c r="P137" s="93"/>
      <c r="Q137" s="137"/>
      <c r="R137" s="5"/>
      <c r="S137" s="169"/>
      <c r="T137" s="175"/>
    </row>
    <row r="138" spans="16:20" ht="15.75" customHeight="1" x14ac:dyDescent="0.2">
      <c r="P138" s="93"/>
      <c r="Q138" s="137"/>
      <c r="R138" s="5"/>
      <c r="S138" s="169"/>
      <c r="T138" s="175"/>
    </row>
    <row r="139" spans="16:20" ht="15.75" customHeight="1" x14ac:dyDescent="0.2">
      <c r="P139" s="93"/>
      <c r="Q139" s="137"/>
      <c r="R139" s="5"/>
      <c r="S139" s="169"/>
      <c r="T139" s="175"/>
    </row>
    <row r="140" spans="16:20" ht="15.75" customHeight="1" x14ac:dyDescent="0.2">
      <c r="P140" s="93"/>
      <c r="Q140" s="137"/>
      <c r="R140" s="5"/>
      <c r="S140" s="169"/>
      <c r="T140" s="175"/>
    </row>
    <row r="141" spans="16:20" ht="15.75" customHeight="1" x14ac:dyDescent="0.2">
      <c r="P141" s="93"/>
      <c r="Q141" s="137"/>
      <c r="R141" s="5"/>
      <c r="S141" s="169"/>
      <c r="T141" s="175"/>
    </row>
    <row r="142" spans="16:20" ht="15.75" customHeight="1" x14ac:dyDescent="0.2">
      <c r="P142" s="93"/>
      <c r="Q142" s="137"/>
      <c r="R142" s="5"/>
      <c r="S142" s="169"/>
      <c r="T142" s="175"/>
    </row>
    <row r="143" spans="16:20" ht="15.75" customHeight="1" x14ac:dyDescent="0.2">
      <c r="P143" s="93"/>
      <c r="Q143" s="137"/>
      <c r="R143" s="5"/>
      <c r="S143" s="169"/>
      <c r="T143" s="175"/>
    </row>
    <row r="144" spans="16:20" ht="15.75" customHeight="1" x14ac:dyDescent="0.2">
      <c r="P144" s="93"/>
      <c r="Q144" s="137"/>
      <c r="R144" s="5"/>
      <c r="S144" s="169"/>
      <c r="T144" s="175"/>
    </row>
    <row r="145" spans="16:20" ht="15.75" customHeight="1" x14ac:dyDescent="0.2">
      <c r="P145" s="93"/>
      <c r="Q145" s="137"/>
      <c r="R145" s="5"/>
      <c r="S145" s="169"/>
      <c r="T145" s="175"/>
    </row>
    <row r="146" spans="16:20" ht="15.75" customHeight="1" x14ac:dyDescent="0.2">
      <c r="P146" s="93"/>
      <c r="Q146" s="137"/>
      <c r="R146" s="5"/>
      <c r="S146" s="169"/>
      <c r="T146" s="175"/>
    </row>
    <row r="147" spans="16:20" ht="15.75" customHeight="1" x14ac:dyDescent="0.2">
      <c r="P147" s="93"/>
      <c r="Q147" s="137"/>
      <c r="R147" s="5"/>
      <c r="S147" s="169"/>
      <c r="T147" s="175"/>
    </row>
  </sheetData>
  <mergeCells count="14">
    <mergeCell ref="B16:B17"/>
    <mergeCell ref="C16:C17"/>
    <mergeCell ref="B2:C2"/>
    <mergeCell ref="B7:B8"/>
    <mergeCell ref="M11:N11"/>
    <mergeCell ref="B12:B13"/>
    <mergeCell ref="C12:C13"/>
    <mergeCell ref="B38:C38"/>
    <mergeCell ref="E22:G22"/>
    <mergeCell ref="K22:N23"/>
    <mergeCell ref="K24:N25"/>
    <mergeCell ref="J33:N33"/>
    <mergeCell ref="J34:N34"/>
    <mergeCell ref="J35:N35"/>
  </mergeCells>
  <phoneticPr fontId="26" type="noConversion"/>
  <conditionalFormatting sqref="F24:F33">
    <cfRule type="cellIs" dxfId="41" priority="1" operator="greaterThan">
      <formula>0</formula>
    </cfRule>
    <cfRule type="cellIs" dxfId="40" priority="2" operator="lessThan">
      <formula>0</formula>
    </cfRule>
  </conditionalFormatting>
  <conditionalFormatting sqref="G24:G33">
    <cfRule type="cellIs" dxfId="39" priority="3" operator="lessThan">
      <formula>0</formula>
    </cfRule>
    <cfRule type="cellIs" dxfId="38" priority="4" operator="greaterThan">
      <formula>0</formula>
    </cfRule>
    <cfRule type="cellIs" dxfId="37" priority="5" operator="greaterThan">
      <formula>0</formula>
    </cfRule>
  </conditionalFormatting>
  <conditionalFormatting sqref="K22">
    <cfRule type="containsText" dxfId="36" priority="7" operator="containsText" text="Gasto com Extra ok">
      <formula>NOT(ISERROR(SEARCH("Gasto com Extra ok",K22)))</formula>
    </cfRule>
    <cfRule type="containsText" dxfId="35" priority="8" operator="containsText" text="Continuem assim">
      <formula>NOT(ISERROR(SEARCH("Continuem assim",K22)))</formula>
    </cfRule>
    <cfRule type="containsText" dxfId="34" priority="11" operator="containsText" text="ATENÇÃO, JÁ GASTAMOS">
      <formula>NOT(ISERROR(SEARCH("ATENÇÃO, JÁ GASTAMOS",K22)))</formula>
    </cfRule>
    <cfRule type="containsText" dxfId="33" priority="12" operator="containsText" text="ATENÇÃO, JA GASTAMOS">
      <formula>NOT(ISERROR(SEARCH("ATENÇÃO, JA GASTAMOS",K22)))</formula>
    </cfRule>
    <cfRule type="containsText" dxfId="32" priority="13" operator="containsText" text="ATENÇÃO PARA OS GASTOS">
      <formula>NOT(ISERROR(SEARCH("ATENÇÃO PARA OS GASTOS",K22)))</formula>
    </cfRule>
    <cfRule type="cellIs" dxfId="31" priority="14" operator="lessThan">
      <formula>150</formula>
    </cfRule>
  </conditionalFormatting>
  <conditionalFormatting sqref="K24">
    <cfRule type="containsText" dxfId="30" priority="9" operator="containsText" text="Os valores estão positivos">
      <formula>NOT(ISERROR(SEARCH("Os valores estão positivos",K24)))</formula>
    </cfRule>
    <cfRule type="containsText" dxfId="29" priority="10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28" priority="6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7ABD-C838-404E-A4D3-BED2FE054E76}">
  <sheetPr>
    <outlinePr summaryBelow="0" summaryRight="0"/>
  </sheetPr>
  <dimension ref="B1:V147"/>
  <sheetViews>
    <sheetView topLeftCell="K122" zoomScale="70" zoomScaleNormal="70" workbookViewId="0">
      <selection activeCell="S50" sqref="S50"/>
    </sheetView>
  </sheetViews>
  <sheetFormatPr defaultColWidth="12.5703125" defaultRowHeight="15.75" customHeight="1" x14ac:dyDescent="0.2"/>
  <cols>
    <col min="1" max="1" width="1.5703125" customWidth="1"/>
    <col min="2" max="2" width="27.85546875" customWidth="1"/>
    <col min="3" max="3" width="17.28515625" bestFit="1" customWidth="1"/>
    <col min="4" max="4" width="2.42578125" customWidth="1"/>
    <col min="5" max="5" width="22.85546875" bestFit="1" customWidth="1"/>
    <col min="6" max="6" width="23.42578125" bestFit="1" customWidth="1"/>
    <col min="7" max="7" width="18.42578125" bestFit="1" customWidth="1"/>
    <col min="8" max="8" width="2.5703125" customWidth="1"/>
    <col min="9" max="9" width="18.5703125" bestFit="1" customWidth="1"/>
    <col min="10" max="10" width="17.7109375" bestFit="1" customWidth="1"/>
    <col min="11" max="11" width="26.140625" customWidth="1"/>
    <col min="12" max="12" width="12.42578125" bestFit="1" customWidth="1"/>
    <col min="13" max="13" width="16.140625" bestFit="1" customWidth="1"/>
    <col min="14" max="14" width="28.5703125" bestFit="1" customWidth="1"/>
    <col min="15" max="15" width="2.5703125" customWidth="1"/>
    <col min="16" max="16" width="28.5703125" bestFit="1" customWidth="1"/>
    <col min="17" max="17" width="13.42578125" style="69" bestFit="1" customWidth="1"/>
    <col min="18" max="18" width="30.140625" bestFit="1" customWidth="1"/>
    <col min="19" max="19" width="51.7109375" bestFit="1" customWidth="1"/>
    <col min="20" max="20" width="12.42578125" bestFit="1" customWidth="1"/>
    <col min="21" max="21" width="7" bestFit="1" customWidth="1"/>
    <col min="22" max="22" width="17.28515625" bestFit="1" customWidth="1"/>
    <col min="23" max="23" width="13.140625" customWidth="1"/>
    <col min="24" max="24" width="17.28515625" bestFit="1" customWidth="1"/>
    <col min="25" max="25" width="22.28515625" bestFit="1" customWidth="1"/>
    <col min="28" max="28" width="22.28515625" bestFit="1" customWidth="1"/>
  </cols>
  <sheetData>
    <row r="1" spans="2:22" ht="9" customHeight="1" x14ac:dyDescent="0.2">
      <c r="T1" s="51"/>
      <c r="U1" s="51"/>
      <c r="V1" s="51"/>
    </row>
    <row r="2" spans="2:22" ht="15.75" customHeight="1" x14ac:dyDescent="0.2">
      <c r="B2" s="339" t="s">
        <v>0</v>
      </c>
      <c r="C2" s="340"/>
      <c r="D2" s="37"/>
      <c r="E2" s="98" t="s">
        <v>1</v>
      </c>
      <c r="F2" s="258" t="s">
        <v>27</v>
      </c>
      <c r="H2" s="37"/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5" t="s">
        <v>60</v>
      </c>
      <c r="Q2" s="174" t="s">
        <v>27</v>
      </c>
      <c r="R2" s="162" t="s">
        <v>36</v>
      </c>
      <c r="S2" s="163" t="s">
        <v>37</v>
      </c>
      <c r="T2" s="234" t="s">
        <v>417</v>
      </c>
      <c r="U2" s="302" t="s">
        <v>172</v>
      </c>
      <c r="V2" s="52"/>
    </row>
    <row r="3" spans="2:22" ht="15.75" customHeight="1" x14ac:dyDescent="0.2">
      <c r="B3" s="1" t="s">
        <v>43</v>
      </c>
      <c r="C3" s="1">
        <v>1751.86</v>
      </c>
      <c r="D3" s="37"/>
      <c r="E3" s="97" t="s">
        <v>4</v>
      </c>
      <c r="F3" s="257">
        <v>760</v>
      </c>
      <c r="H3" s="37"/>
      <c r="I3" s="126" t="s">
        <v>3</v>
      </c>
      <c r="J3" s="125">
        <v>64.900000000000006</v>
      </c>
      <c r="K3" s="129">
        <v>45939</v>
      </c>
      <c r="M3" s="25" t="s">
        <v>2</v>
      </c>
      <c r="N3" s="26">
        <v>21</v>
      </c>
      <c r="P3" s="93" t="s">
        <v>33</v>
      </c>
      <c r="Q3" s="279">
        <v>22.63</v>
      </c>
      <c r="R3" s="276">
        <v>46085</v>
      </c>
      <c r="S3" s="93" t="s">
        <v>617</v>
      </c>
      <c r="T3" s="93"/>
      <c r="U3" s="37"/>
    </row>
    <row r="4" spans="2:22" ht="15.75" customHeight="1" x14ac:dyDescent="0.2">
      <c r="B4" s="1" t="s">
        <v>44</v>
      </c>
      <c r="C4" s="1">
        <v>2642</v>
      </c>
      <c r="D4" s="37"/>
      <c r="E4" s="97" t="s">
        <v>6</v>
      </c>
      <c r="F4" s="257">
        <v>596</v>
      </c>
      <c r="G4" s="109"/>
      <c r="H4" s="37"/>
      <c r="I4" s="126" t="s">
        <v>5</v>
      </c>
      <c r="J4" s="125">
        <v>147</v>
      </c>
      <c r="K4" s="129">
        <v>46367</v>
      </c>
      <c r="M4" s="25" t="s">
        <v>3</v>
      </c>
      <c r="N4" s="26">
        <v>24.9</v>
      </c>
      <c r="P4" s="273" t="s">
        <v>35</v>
      </c>
      <c r="Q4" s="274">
        <v>7.07</v>
      </c>
      <c r="R4" s="287">
        <v>46109</v>
      </c>
      <c r="S4" s="273" t="s">
        <v>588</v>
      </c>
      <c r="T4" s="273"/>
      <c r="U4" s="37"/>
      <c r="V4" s="52"/>
    </row>
    <row r="5" spans="2:22" ht="15.75" customHeight="1" x14ac:dyDescent="0.2">
      <c r="B5" s="1" t="s">
        <v>56</v>
      </c>
      <c r="C5" s="1">
        <v>812</v>
      </c>
      <c r="D5" s="37"/>
      <c r="E5" s="97" t="s">
        <v>9</v>
      </c>
      <c r="F5" s="257">
        <v>295</v>
      </c>
      <c r="G5" s="109"/>
      <c r="H5" s="37"/>
      <c r="I5" s="126" t="s">
        <v>14</v>
      </c>
      <c r="J5" s="125">
        <v>128</v>
      </c>
      <c r="K5" s="129">
        <v>46298</v>
      </c>
      <c r="M5" s="25" t="s">
        <v>7</v>
      </c>
      <c r="N5" s="26">
        <v>11.8</v>
      </c>
      <c r="P5" s="273" t="s">
        <v>33</v>
      </c>
      <c r="Q5" s="274">
        <v>-7.07</v>
      </c>
      <c r="R5" s="287">
        <v>46109</v>
      </c>
      <c r="S5" s="273" t="s">
        <v>588</v>
      </c>
      <c r="T5" s="273"/>
      <c r="U5" s="37"/>
      <c r="V5" s="52"/>
    </row>
    <row r="6" spans="2:22" ht="15.75" customHeight="1" x14ac:dyDescent="0.2">
      <c r="B6" s="1" t="s">
        <v>516</v>
      </c>
      <c r="C6" s="1">
        <v>946</v>
      </c>
      <c r="D6" s="37"/>
      <c r="E6" s="97" t="s">
        <v>12</v>
      </c>
      <c r="F6" s="257">
        <v>97</v>
      </c>
      <c r="G6" s="109"/>
      <c r="H6" s="37"/>
      <c r="I6" s="126" t="s">
        <v>226</v>
      </c>
      <c r="J6" s="125">
        <v>179.58</v>
      </c>
      <c r="K6" s="130">
        <v>46362</v>
      </c>
      <c r="M6" s="25" t="s">
        <v>10</v>
      </c>
      <c r="N6" s="26">
        <v>20</v>
      </c>
      <c r="P6" s="273" t="s">
        <v>35</v>
      </c>
      <c r="Q6" s="274">
        <v>75.010000000000005</v>
      </c>
      <c r="R6" s="287">
        <v>46109</v>
      </c>
      <c r="S6" s="273" t="s">
        <v>587</v>
      </c>
      <c r="T6" s="273"/>
      <c r="U6" s="37"/>
      <c r="V6" s="52"/>
    </row>
    <row r="7" spans="2:22" ht="15.75" customHeight="1" x14ac:dyDescent="0.2">
      <c r="B7" s="343" t="s">
        <v>15</v>
      </c>
      <c r="C7" s="41">
        <v>445</v>
      </c>
      <c r="D7" s="37"/>
      <c r="E7" s="97" t="s">
        <v>16</v>
      </c>
      <c r="F7" s="257">
        <v>200</v>
      </c>
      <c r="G7" s="109"/>
      <c r="H7" s="37"/>
      <c r="I7" s="126" t="s">
        <v>233</v>
      </c>
      <c r="J7" s="125">
        <v>99</v>
      </c>
      <c r="K7" s="129" t="s">
        <v>234</v>
      </c>
      <c r="M7" s="25" t="s">
        <v>13</v>
      </c>
      <c r="N7" s="26">
        <v>19.899999999999999</v>
      </c>
      <c r="P7" s="273" t="s">
        <v>59</v>
      </c>
      <c r="Q7" s="274">
        <v>-75.010000000000005</v>
      </c>
      <c r="R7" s="287">
        <v>46109</v>
      </c>
      <c r="S7" s="273" t="s">
        <v>587</v>
      </c>
      <c r="T7" s="273"/>
      <c r="U7" s="37"/>
      <c r="V7" s="52"/>
    </row>
    <row r="8" spans="2:22" ht="15.75" customHeight="1" x14ac:dyDescent="0.2">
      <c r="B8" s="344"/>
      <c r="C8" s="41">
        <v>409</v>
      </c>
      <c r="D8" s="37"/>
      <c r="E8" s="97" t="s">
        <v>459</v>
      </c>
      <c r="F8" s="257">
        <f>N9</f>
        <v>104.6</v>
      </c>
      <c r="H8" s="37"/>
      <c r="I8" s="126" t="s">
        <v>198</v>
      </c>
      <c r="J8" s="125">
        <v>76</v>
      </c>
      <c r="K8" s="129">
        <v>46084</v>
      </c>
      <c r="M8" s="25" t="s">
        <v>17</v>
      </c>
      <c r="N8" s="26">
        <v>7</v>
      </c>
      <c r="P8" s="273" t="s">
        <v>35</v>
      </c>
      <c r="Q8" s="274">
        <v>119</v>
      </c>
      <c r="R8" s="287">
        <v>46109</v>
      </c>
      <c r="S8" s="273" t="s">
        <v>586</v>
      </c>
      <c r="T8" s="273"/>
      <c r="U8" s="37"/>
      <c r="V8" s="52"/>
    </row>
    <row r="9" spans="2:22" ht="15.75" customHeight="1" x14ac:dyDescent="0.2">
      <c r="B9" s="270"/>
      <c r="C9" s="271"/>
      <c r="D9" s="37"/>
      <c r="E9" s="132" t="s">
        <v>20</v>
      </c>
      <c r="F9" s="133">
        <f>SUM(F3:F8)</f>
        <v>2052.6</v>
      </c>
      <c r="H9" s="37"/>
      <c r="I9" s="126" t="s">
        <v>517</v>
      </c>
      <c r="J9" s="125">
        <v>62</v>
      </c>
      <c r="K9" s="129" t="s">
        <v>39</v>
      </c>
      <c r="M9" s="31" t="s">
        <v>20</v>
      </c>
      <c r="N9" s="32">
        <f>SUM(N3:N8)</f>
        <v>104.6</v>
      </c>
      <c r="P9" s="273" t="s">
        <v>50</v>
      </c>
      <c r="Q9" s="274">
        <v>-119</v>
      </c>
      <c r="R9" s="287">
        <v>46109</v>
      </c>
      <c r="S9" s="273" t="s">
        <v>586</v>
      </c>
      <c r="T9" s="273"/>
      <c r="U9" s="37"/>
      <c r="V9" s="52"/>
    </row>
    <row r="10" spans="2:22" ht="15.75" customHeight="1" x14ac:dyDescent="0.2">
      <c r="B10" s="270"/>
      <c r="C10" s="172">
        <v>0</v>
      </c>
      <c r="D10" s="37"/>
      <c r="H10" s="37"/>
      <c r="I10" s="126" t="s">
        <v>520</v>
      </c>
      <c r="J10" s="125">
        <v>7.95</v>
      </c>
      <c r="K10" s="129" t="s">
        <v>39</v>
      </c>
      <c r="N10" s="37"/>
      <c r="O10" s="37"/>
      <c r="P10" s="275" t="s">
        <v>35</v>
      </c>
      <c r="Q10" s="274">
        <v>300</v>
      </c>
      <c r="R10" s="287">
        <v>46109</v>
      </c>
      <c r="S10" s="273" t="s">
        <v>589</v>
      </c>
      <c r="T10" s="273"/>
      <c r="U10" s="37"/>
      <c r="V10" s="52"/>
    </row>
    <row r="11" spans="2:22" ht="16.5" x14ac:dyDescent="0.2">
      <c r="B11" s="270"/>
      <c r="C11" s="271"/>
      <c r="D11" s="37"/>
      <c r="H11" s="37"/>
      <c r="I11" s="132" t="s">
        <v>20</v>
      </c>
      <c r="J11" s="133">
        <f>SUM(J3:J10)</f>
        <v>764.43000000000006</v>
      </c>
      <c r="K11" s="132" t="s">
        <v>39</v>
      </c>
      <c r="M11" s="341" t="s">
        <v>40</v>
      </c>
      <c r="N11" s="342"/>
      <c r="P11" s="273" t="s">
        <v>21</v>
      </c>
      <c r="Q11" s="274">
        <v>-300</v>
      </c>
      <c r="R11" s="287">
        <v>46109</v>
      </c>
      <c r="S11" s="273" t="s">
        <v>589</v>
      </c>
      <c r="T11" s="273"/>
      <c r="U11" s="37"/>
      <c r="V11" s="52"/>
    </row>
    <row r="12" spans="2:22" ht="16.5" x14ac:dyDescent="0.2">
      <c r="B12" s="346" t="s">
        <v>20</v>
      </c>
      <c r="C12" s="347">
        <f>SUM(C3:C9)</f>
        <v>7005.86</v>
      </c>
      <c r="D12" s="37"/>
      <c r="H12" s="37"/>
      <c r="I12" s="69"/>
      <c r="M12" s="27" t="s">
        <v>41</v>
      </c>
      <c r="N12" s="38"/>
      <c r="P12" s="93" t="s">
        <v>58</v>
      </c>
      <c r="Q12" s="272">
        <v>47.9</v>
      </c>
      <c r="R12" s="276">
        <v>46110</v>
      </c>
      <c r="S12" s="93" t="s">
        <v>592</v>
      </c>
      <c r="T12" s="93"/>
      <c r="U12" s="37"/>
      <c r="V12" s="52"/>
    </row>
    <row r="13" spans="2:22" ht="16.5" x14ac:dyDescent="0.2">
      <c r="B13" s="344"/>
      <c r="C13" s="348"/>
      <c r="D13" s="37"/>
      <c r="F13" s="69"/>
      <c r="H13" s="37"/>
      <c r="J13" s="96"/>
      <c r="M13" s="28" t="s">
        <v>42</v>
      </c>
      <c r="N13" s="39"/>
      <c r="P13" s="253" t="s">
        <v>33</v>
      </c>
      <c r="Q13" s="277">
        <v>66.7</v>
      </c>
      <c r="R13" s="278">
        <v>46110</v>
      </c>
      <c r="S13" s="253" t="s">
        <v>595</v>
      </c>
      <c r="T13" s="253" t="s">
        <v>418</v>
      </c>
      <c r="U13" s="37"/>
      <c r="V13" s="304"/>
    </row>
    <row r="14" spans="2:22" ht="16.5" x14ac:dyDescent="0.2">
      <c r="B14" s="37"/>
      <c r="C14" s="37"/>
      <c r="D14" s="37"/>
      <c r="F14" s="69"/>
      <c r="G14" s="259"/>
      <c r="H14" s="37"/>
      <c r="I14" s="96"/>
      <c r="J14" s="69"/>
      <c r="M14" s="29" t="s">
        <v>64</v>
      </c>
      <c r="N14" s="40"/>
      <c r="P14" s="253" t="s">
        <v>50</v>
      </c>
      <c r="Q14" s="277">
        <v>232.5</v>
      </c>
      <c r="R14" s="278">
        <v>46110</v>
      </c>
      <c r="S14" s="253" t="s">
        <v>596</v>
      </c>
      <c r="T14" s="253" t="s">
        <v>418</v>
      </c>
      <c r="U14" s="37"/>
      <c r="V14" s="52"/>
    </row>
    <row r="15" spans="2:22" ht="12.75" x14ac:dyDescent="0.2">
      <c r="B15" s="43"/>
      <c r="C15" s="43"/>
      <c r="D15" s="43"/>
      <c r="E15" s="44"/>
      <c r="F15" s="70"/>
      <c r="G15" s="173"/>
      <c r="H15" s="37"/>
      <c r="N15" s="37"/>
      <c r="O15" s="37"/>
      <c r="P15" s="253" t="s">
        <v>33</v>
      </c>
      <c r="Q15" s="277">
        <v>145.86000000000001</v>
      </c>
      <c r="R15" s="278">
        <v>46110</v>
      </c>
      <c r="S15" s="253" t="s">
        <v>597</v>
      </c>
      <c r="T15" s="253" t="s">
        <v>418</v>
      </c>
      <c r="U15" s="37"/>
      <c r="V15" s="52"/>
    </row>
    <row r="16" spans="2:22" ht="12.75" x14ac:dyDescent="0.2">
      <c r="B16" s="335" t="s">
        <v>239</v>
      </c>
      <c r="C16" s="337">
        <f>C12-J11-F9</f>
        <v>4188.83</v>
      </c>
      <c r="D16" s="43"/>
      <c r="E16" s="71"/>
      <c r="F16" s="72"/>
      <c r="G16" s="72"/>
      <c r="H16" s="44"/>
      <c r="I16" s="69"/>
      <c r="N16" s="37"/>
      <c r="O16" s="37"/>
      <c r="P16" s="93" t="s">
        <v>59</v>
      </c>
      <c r="Q16" s="272">
        <v>121.75</v>
      </c>
      <c r="R16" s="276">
        <v>46111</v>
      </c>
      <c r="S16" s="93" t="s">
        <v>590</v>
      </c>
      <c r="T16" s="93"/>
      <c r="U16" s="37"/>
      <c r="V16" s="355" t="s">
        <v>600</v>
      </c>
    </row>
    <row r="17" spans="2:22" ht="12.75" x14ac:dyDescent="0.2">
      <c r="B17" s="336"/>
      <c r="C17" s="336"/>
      <c r="D17" s="43"/>
      <c r="E17" s="70"/>
      <c r="F17" s="69"/>
      <c r="G17" s="44"/>
      <c r="H17" s="44"/>
      <c r="K17" s="96"/>
      <c r="N17" s="37"/>
      <c r="P17" s="93" t="s">
        <v>58</v>
      </c>
      <c r="Q17" s="272">
        <v>15</v>
      </c>
      <c r="R17" s="276">
        <v>46111</v>
      </c>
      <c r="S17" s="93" t="s">
        <v>250</v>
      </c>
      <c r="T17" s="93"/>
      <c r="U17" s="37"/>
      <c r="V17" s="355"/>
    </row>
    <row r="18" spans="2:22" ht="12.75" customHeight="1" x14ac:dyDescent="0.2">
      <c r="B18" s="43"/>
      <c r="C18" s="43"/>
      <c r="D18" s="43"/>
      <c r="F18" s="69"/>
      <c r="I18" s="51"/>
      <c r="J18" s="51"/>
      <c r="K18" s="51"/>
      <c r="L18" s="37"/>
      <c r="M18" s="37"/>
      <c r="N18" s="37"/>
      <c r="P18" s="93" t="s">
        <v>35</v>
      </c>
      <c r="Q18" s="279">
        <v>7.93</v>
      </c>
      <c r="R18" s="276">
        <v>46111</v>
      </c>
      <c r="S18" s="8" t="s">
        <v>209</v>
      </c>
      <c r="T18" s="93"/>
      <c r="U18" s="37"/>
      <c r="V18" s="355"/>
    </row>
    <row r="19" spans="2:22" ht="12.75" x14ac:dyDescent="0.2">
      <c r="J19" s="70"/>
      <c r="K19" s="37"/>
      <c r="L19" s="37"/>
      <c r="M19" s="37"/>
      <c r="N19" s="37"/>
      <c r="P19" s="93" t="s">
        <v>35</v>
      </c>
      <c r="Q19" s="279">
        <v>7.93</v>
      </c>
      <c r="R19" s="276">
        <v>46111</v>
      </c>
      <c r="S19" s="8" t="s">
        <v>209</v>
      </c>
      <c r="T19" s="93"/>
      <c r="U19" s="37"/>
      <c r="V19" s="355"/>
    </row>
    <row r="20" spans="2:22" ht="12.75" x14ac:dyDescent="0.2">
      <c r="B20" s="37"/>
      <c r="C20" s="37"/>
      <c r="D20" s="37"/>
      <c r="J20" s="37"/>
      <c r="K20" s="37"/>
      <c r="L20" s="37"/>
      <c r="M20" s="37"/>
      <c r="N20" s="37"/>
      <c r="P20" s="93" t="s">
        <v>35</v>
      </c>
      <c r="Q20" s="279">
        <v>7.95</v>
      </c>
      <c r="R20" s="276">
        <v>46112</v>
      </c>
      <c r="S20" s="8" t="s">
        <v>209</v>
      </c>
      <c r="T20" s="93"/>
      <c r="U20" s="37"/>
      <c r="V20" s="355"/>
    </row>
    <row r="21" spans="2:22" ht="12.75" x14ac:dyDescent="0.2">
      <c r="B21" s="37"/>
      <c r="C21" s="37"/>
      <c r="D21" s="43"/>
      <c r="E21" s="2"/>
      <c r="F21" s="2"/>
      <c r="G21" s="2"/>
      <c r="H21" s="2"/>
      <c r="I21" s="53" t="s">
        <v>38</v>
      </c>
      <c r="J21" s="78" t="s">
        <v>27</v>
      </c>
      <c r="P21" s="93" t="s">
        <v>35</v>
      </c>
      <c r="Q21" s="279">
        <v>5.56</v>
      </c>
      <c r="R21" s="276">
        <v>46112</v>
      </c>
      <c r="S21" s="169" t="s">
        <v>209</v>
      </c>
      <c r="T21" s="93"/>
      <c r="U21" s="37"/>
      <c r="V21" s="69"/>
    </row>
    <row r="22" spans="2:22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2"/>
      <c r="I22" s="6" t="s">
        <v>32</v>
      </c>
      <c r="J22" s="79">
        <f>SUMIFS(Q3:Q147,P3:P147,"Casa")</f>
        <v>291.91000000000003</v>
      </c>
      <c r="K22" s="345" t="str">
        <f>IF(J28&gt;=200,"ATENÇÃO AO GASTO EXTRA R$ " &amp; SUM(J28), "GASTO COM EXTRA OK !")</f>
        <v>ATENÇÃO AO GASTO EXTRA R$ 1311,78</v>
      </c>
      <c r="L22" s="345"/>
      <c r="M22" s="345"/>
      <c r="N22" s="345"/>
      <c r="P22" s="93" t="s">
        <v>35</v>
      </c>
      <c r="Q22" s="279">
        <v>7.95</v>
      </c>
      <c r="R22" s="276">
        <v>46113</v>
      </c>
      <c r="S22" s="169" t="s">
        <v>209</v>
      </c>
      <c r="T22" s="93"/>
      <c r="U22" s="37"/>
    </row>
    <row r="23" spans="2:22" ht="15.75" customHeight="1" x14ac:dyDescent="0.2">
      <c r="B23" s="3" t="s">
        <v>31</v>
      </c>
      <c r="C23" s="46">
        <v>0</v>
      </c>
      <c r="D23" s="43"/>
      <c r="E23" s="62" t="s">
        <v>29</v>
      </c>
      <c r="F23" s="63" t="s">
        <v>27</v>
      </c>
      <c r="G23" s="67" t="s">
        <v>65</v>
      </c>
      <c r="H23" s="2"/>
      <c r="I23" s="6" t="s">
        <v>33</v>
      </c>
      <c r="J23" s="79">
        <f>SUMIFS(Q3:Q147,P3:P147,"Lazer")</f>
        <v>865.67</v>
      </c>
      <c r="K23" s="345"/>
      <c r="L23" s="345"/>
      <c r="M23" s="345"/>
      <c r="N23" s="345"/>
      <c r="P23" s="93" t="s">
        <v>35</v>
      </c>
      <c r="Q23" s="279">
        <v>90</v>
      </c>
      <c r="R23" s="276">
        <v>46113</v>
      </c>
      <c r="S23" s="283" t="s">
        <v>598</v>
      </c>
      <c r="T23" s="93"/>
      <c r="U23" s="37"/>
    </row>
    <row r="24" spans="2:22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v>0</v>
      </c>
      <c r="G24" s="134">
        <v>0</v>
      </c>
      <c r="H24" s="2"/>
      <c r="I24" s="6" t="s">
        <v>34</v>
      </c>
      <c r="J24" s="79">
        <f>SUMIFS(Q3:Q147,P3:P147,"Roupas")</f>
        <v>0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93" t="s">
        <v>35</v>
      </c>
      <c r="Q24" s="279">
        <v>19.96</v>
      </c>
      <c r="R24" s="276">
        <v>46113</v>
      </c>
      <c r="S24" s="169" t="s">
        <v>209</v>
      </c>
      <c r="T24" s="93"/>
      <c r="U24" s="37"/>
    </row>
    <row r="25" spans="2:22" ht="15.75" customHeight="1" x14ac:dyDescent="0.2">
      <c r="B25" s="3" t="s">
        <v>33</v>
      </c>
      <c r="C25" s="46">
        <v>700</v>
      </c>
      <c r="D25" s="43"/>
      <c r="E25" s="54" t="s">
        <v>32</v>
      </c>
      <c r="F25" s="55">
        <f>C24-J22</f>
        <v>-91.910000000000025</v>
      </c>
      <c r="G25" s="134">
        <f>SUM(Tabela615166121825323946534660[[#This Row],[Valores]]+Tabela6151661218253239465346[[#This Row],[Acumulado]])</f>
        <v>397.70999999999992</v>
      </c>
      <c r="H25" s="2"/>
      <c r="I25" s="6" t="s">
        <v>19</v>
      </c>
      <c r="J25" s="79">
        <f>SUMIFS(Q3:Q147,P3:P147,"Nesco")</f>
        <v>99.8</v>
      </c>
      <c r="K25" s="334"/>
      <c r="L25" s="334"/>
      <c r="M25" s="334"/>
      <c r="N25" s="334"/>
      <c r="P25" s="93" t="s">
        <v>59</v>
      </c>
      <c r="Q25" s="279">
        <f>72.1/2</f>
        <v>36.049999999999997</v>
      </c>
      <c r="R25" s="276">
        <v>46113</v>
      </c>
      <c r="S25" s="283" t="s">
        <v>599</v>
      </c>
      <c r="T25" s="93"/>
      <c r="U25" s="37"/>
    </row>
    <row r="26" spans="2:22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</f>
        <v>-165.66999999999996</v>
      </c>
      <c r="G26" s="134">
        <f>SUM(Tabela615166121825323946534660[[#This Row],[Valores]]+Tabela6151661218253239465346[[#This Row],[Acumulado]])</f>
        <v>-172.73666666666679</v>
      </c>
      <c r="H26" s="2"/>
      <c r="I26" s="6" t="s">
        <v>21</v>
      </c>
      <c r="J26" s="79">
        <f>SUMIFS(Q3:Q147,P3:P147,"Gasolina / Óleo")</f>
        <v>-50.94</v>
      </c>
      <c r="P26" s="93" t="s">
        <v>58</v>
      </c>
      <c r="Q26" s="272">
        <v>24.99</v>
      </c>
      <c r="R26" s="276">
        <v>46114</v>
      </c>
      <c r="S26" s="93" t="s">
        <v>78</v>
      </c>
      <c r="T26" s="93"/>
      <c r="U26" s="37"/>
    </row>
    <row r="27" spans="2:22" ht="15.75" customHeight="1" x14ac:dyDescent="0.2">
      <c r="B27" s="13" t="s">
        <v>35</v>
      </c>
      <c r="C27" s="46">
        <f>C16-SUM(C23:C26)-SUM(C28:C32)</f>
        <v>1428.83</v>
      </c>
      <c r="D27" s="43"/>
      <c r="E27" s="54" t="s">
        <v>34</v>
      </c>
      <c r="F27" s="55">
        <f>C26-J24</f>
        <v>200</v>
      </c>
      <c r="G27" s="134">
        <f>SUM(Tabela615166121825323946534660[[#This Row],[Valores]]+Tabela6151661218253239465346[[#This Row],[Acumulado]])</f>
        <v>639.21</v>
      </c>
      <c r="H27" s="2"/>
      <c r="I27" s="6" t="s">
        <v>50</v>
      </c>
      <c r="J27" s="79">
        <f>SUMIFS(Q3:Q147,P3:P147,"Compras do Mês")</f>
        <v>881.38000000000011</v>
      </c>
      <c r="P27" s="93" t="s">
        <v>35</v>
      </c>
      <c r="Q27" s="272">
        <v>15</v>
      </c>
      <c r="R27" s="276">
        <v>46114</v>
      </c>
      <c r="S27" s="283" t="s">
        <v>591</v>
      </c>
      <c r="T27" s="93"/>
      <c r="U27" s="37"/>
    </row>
    <row r="28" spans="2:22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-14.184999999999945</v>
      </c>
      <c r="G28" s="134">
        <f>SUM(Tabela615166121825323946534660[[#This Row],[Valores]]+Tabela6151661218253239465346[[#This Row],[Acumulado]])</f>
        <v>-89.199999999999932</v>
      </c>
      <c r="H28" s="2"/>
      <c r="I28" s="6" t="s">
        <v>35</v>
      </c>
      <c r="J28" s="79">
        <f>SUMIFS(Q3:Q147,P3:P147,"Extras")</f>
        <v>1311.7800000000018</v>
      </c>
      <c r="P28" s="253" t="s">
        <v>21</v>
      </c>
      <c r="Q28" s="277">
        <v>43.83</v>
      </c>
      <c r="R28" s="278">
        <v>46114</v>
      </c>
      <c r="S28" s="253" t="s">
        <v>593</v>
      </c>
      <c r="T28" s="253" t="s">
        <v>418</v>
      </c>
      <c r="U28" s="37"/>
    </row>
    <row r="29" spans="2:22" ht="15.75" customHeight="1" x14ac:dyDescent="0.2">
      <c r="B29" s="12" t="s">
        <v>21</v>
      </c>
      <c r="C29" s="48">
        <v>200</v>
      </c>
      <c r="D29" s="43"/>
      <c r="E29" s="56" t="s">
        <v>58</v>
      </c>
      <c r="F29" s="57">
        <f>C32-J30</f>
        <v>23.460000000000036</v>
      </c>
      <c r="G29" s="134">
        <f>Tabela615166121825323946534660[[#This Row],[Valores]]+Tabela6151661218253239465346[[#This Row],[Acumulado]]</f>
        <v>65.245000000000033</v>
      </c>
      <c r="H29" s="2"/>
      <c r="I29" s="6" t="s">
        <v>59</v>
      </c>
      <c r="J29" s="81">
        <f>SUMIFS(Q3:Q147,P3:P147,"Bobeirinhas V")</f>
        <v>314.18499999999995</v>
      </c>
      <c r="P29" s="253" t="s">
        <v>21</v>
      </c>
      <c r="Q29" s="277">
        <v>54</v>
      </c>
      <c r="R29" s="278">
        <v>46114</v>
      </c>
      <c r="S29" s="253" t="s">
        <v>594</v>
      </c>
      <c r="T29" s="253" t="s">
        <v>418</v>
      </c>
      <c r="U29" s="37"/>
    </row>
    <row r="30" spans="2:22" ht="15.75" customHeight="1" x14ac:dyDescent="0.2">
      <c r="B30" s="13" t="s">
        <v>50</v>
      </c>
      <c r="C30" s="47">
        <f>800</f>
        <v>800</v>
      </c>
      <c r="D30" s="43"/>
      <c r="E30" s="58" t="s">
        <v>35</v>
      </c>
      <c r="F30" s="59">
        <f>C27-J28</f>
        <v>117.04999999999814</v>
      </c>
      <c r="G30" s="134">
        <f>SUM(Tabela615166121825323946534660[[#This Row],[Valores]]+Tabela6151661218253239465346[[#This Row],[Acumulado]])</f>
        <v>-37.360000000002287</v>
      </c>
      <c r="H30" s="2"/>
      <c r="I30" s="9" t="s">
        <v>58</v>
      </c>
      <c r="J30" s="80">
        <f>SUMIFS(Q3:Q147,P3:P147,"Bobeirinhas J")</f>
        <v>276.53999999999996</v>
      </c>
      <c r="L30" s="69"/>
      <c r="P30" s="93" t="s">
        <v>33</v>
      </c>
      <c r="Q30" s="279">
        <v>85.11</v>
      </c>
      <c r="R30" s="276">
        <v>46115</v>
      </c>
      <c r="S30" s="93" t="s">
        <v>601</v>
      </c>
      <c r="T30" s="93"/>
      <c r="U30" s="37"/>
    </row>
    <row r="31" spans="2:22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-39.799999999999997</v>
      </c>
      <c r="G31" s="134">
        <f>SUM(Tabela615166121825323946534660[[#This Row],[Valores]]+Tabela6151661218253239465346[[#This Row],[Acumulado]])</f>
        <v>-37.839999999999989</v>
      </c>
      <c r="H31" s="2"/>
      <c r="J31" s="96"/>
      <c r="N31" s="96"/>
      <c r="P31" s="93" t="s">
        <v>33</v>
      </c>
      <c r="Q31" s="279">
        <f>108.57-10.99</f>
        <v>97.58</v>
      </c>
      <c r="R31" s="276">
        <v>46115</v>
      </c>
      <c r="S31" s="93" t="s">
        <v>602</v>
      </c>
      <c r="T31" s="93"/>
      <c r="U31" s="70"/>
    </row>
    <row r="32" spans="2:22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250.94</v>
      </c>
      <c r="G32" s="134">
        <f>SUM(Tabela615166121825323946534660[[#This Row],[Valores]]+Tabela6151661218253239465346[[#This Row],[Acumulado]])</f>
        <v>53.619999999999976</v>
      </c>
      <c r="H32" s="2"/>
      <c r="J32" s="37"/>
      <c r="P32" s="93" t="s">
        <v>50</v>
      </c>
      <c r="Q32" s="279">
        <v>10.99</v>
      </c>
      <c r="R32" s="276">
        <v>46115</v>
      </c>
      <c r="S32" s="93" t="s">
        <v>603</v>
      </c>
      <c r="T32" s="93"/>
      <c r="U32" s="37"/>
    </row>
    <row r="33" spans="2:22" ht="15.75" customHeight="1" x14ac:dyDescent="0.2">
      <c r="B33" s="73"/>
      <c r="C33" s="74"/>
      <c r="D33" s="43"/>
      <c r="E33" s="58" t="s">
        <v>50</v>
      </c>
      <c r="F33" s="61">
        <f>C30-J27</f>
        <v>-81.380000000000109</v>
      </c>
      <c r="G33" s="134">
        <f>SUM(Tabela615166121825323946534660[[#This Row],[Valores]]+Tabela6151661218253239465346[[#This Row],[Acumulado]])</f>
        <v>-199.45000000000005</v>
      </c>
      <c r="H33" s="2"/>
      <c r="J33" s="354" t="s">
        <v>462</v>
      </c>
      <c r="K33" s="354"/>
      <c r="L33" s="354"/>
      <c r="M33" s="354"/>
      <c r="N33" s="354"/>
      <c r="P33" s="93" t="s">
        <v>33</v>
      </c>
      <c r="Q33" s="279">
        <v>148.82</v>
      </c>
      <c r="R33" s="276">
        <v>46117</v>
      </c>
      <c r="S33" s="93" t="s">
        <v>604</v>
      </c>
      <c r="T33" s="93"/>
      <c r="U33" s="37"/>
      <c r="V33" s="69"/>
    </row>
    <row r="34" spans="2:22" ht="15.75" customHeight="1" x14ac:dyDescent="0.35">
      <c r="B34" s="44"/>
      <c r="C34" s="72"/>
      <c r="D34" s="43"/>
      <c r="E34" s="43"/>
      <c r="F34" s="43"/>
      <c r="G34" s="141"/>
      <c r="H34" s="2"/>
      <c r="I34" s="155"/>
      <c r="J34" s="353" t="s">
        <v>460</v>
      </c>
      <c r="K34" s="353"/>
      <c r="L34" s="353"/>
      <c r="M34" s="353"/>
      <c r="N34" s="353"/>
      <c r="P34" s="93" t="s">
        <v>33</v>
      </c>
      <c r="Q34" s="279">
        <f>35.26-11.34</f>
        <v>23.919999999999998</v>
      </c>
      <c r="R34" s="276">
        <v>46117</v>
      </c>
      <c r="S34" s="93" t="s">
        <v>605</v>
      </c>
      <c r="T34" s="93"/>
      <c r="U34" s="37"/>
    </row>
    <row r="35" spans="2:22" ht="15.75" customHeight="1" x14ac:dyDescent="0.2">
      <c r="B35" s="37"/>
      <c r="C35" s="37"/>
      <c r="D35" s="37"/>
      <c r="E35" s="76" t="s">
        <v>79</v>
      </c>
      <c r="F35" s="77">
        <f>SUM(F25:F33)</f>
        <v>198.50499999999812</v>
      </c>
      <c r="G35" s="70"/>
      <c r="J35" s="353" t="s">
        <v>461</v>
      </c>
      <c r="K35" s="353"/>
      <c r="L35" s="353"/>
      <c r="M35" s="353"/>
      <c r="N35" s="353"/>
      <c r="P35" s="93" t="s">
        <v>50</v>
      </c>
      <c r="Q35" s="279">
        <v>35.26</v>
      </c>
      <c r="R35" s="276">
        <v>46117</v>
      </c>
      <c r="S35" s="93" t="s">
        <v>474</v>
      </c>
      <c r="T35" s="93"/>
      <c r="U35" s="37"/>
    </row>
    <row r="36" spans="2:22" ht="15.75" customHeight="1" x14ac:dyDescent="0.2">
      <c r="C36" s="69"/>
      <c r="F36" s="69"/>
      <c r="P36" s="253" t="s">
        <v>33</v>
      </c>
      <c r="Q36" s="282">
        <v>100</v>
      </c>
      <c r="R36" s="278">
        <v>46118</v>
      </c>
      <c r="S36" s="253" t="s">
        <v>607</v>
      </c>
      <c r="T36" s="253" t="s">
        <v>418</v>
      </c>
      <c r="U36" s="44">
        <v>0</v>
      </c>
      <c r="V36" s="230"/>
    </row>
    <row r="37" spans="2:22" ht="12.75" customHeight="1" x14ac:dyDescent="0.2">
      <c r="F37" s="69"/>
      <c r="P37" s="253" t="s">
        <v>58</v>
      </c>
      <c r="Q37" s="282">
        <v>50</v>
      </c>
      <c r="R37" s="278">
        <v>46118</v>
      </c>
      <c r="S37" s="253" t="s">
        <v>607</v>
      </c>
      <c r="T37" s="253" t="s">
        <v>418</v>
      </c>
      <c r="U37" s="44">
        <v>0</v>
      </c>
      <c r="V37" s="230"/>
    </row>
    <row r="38" spans="2:22" ht="13.5" customHeight="1" x14ac:dyDescent="0.2">
      <c r="B38" s="351" t="s">
        <v>416</v>
      </c>
      <c r="C38" s="352"/>
      <c r="G38" s="69">
        <f>SUM(G25:G33)</f>
        <v>619.19833333333088</v>
      </c>
      <c r="P38" s="253" t="s">
        <v>59</v>
      </c>
      <c r="Q38" s="282">
        <v>50</v>
      </c>
      <c r="R38" s="278">
        <v>46118</v>
      </c>
      <c r="S38" s="253" t="s">
        <v>607</v>
      </c>
      <c r="T38" s="253" t="s">
        <v>418</v>
      </c>
      <c r="U38" s="44">
        <v>0</v>
      </c>
      <c r="V38" s="230"/>
    </row>
    <row r="39" spans="2:22" ht="15.75" customHeight="1" x14ac:dyDescent="0.2">
      <c r="B39" s="237" t="s">
        <v>419</v>
      </c>
      <c r="C39" s="238">
        <f>SUMIFS(Q3:Q147,Tabela1711141926334047544761[Método],"LATAM")</f>
        <v>3771.6599999999994</v>
      </c>
      <c r="F39" s="69"/>
      <c r="I39" s="69"/>
      <c r="P39" s="253" t="s">
        <v>39</v>
      </c>
      <c r="Q39" s="282">
        <v>1711</v>
      </c>
      <c r="R39" s="278">
        <v>46118</v>
      </c>
      <c r="S39" s="253" t="s">
        <v>616</v>
      </c>
      <c r="T39" s="253" t="s">
        <v>418</v>
      </c>
      <c r="U39" s="44">
        <v>0</v>
      </c>
      <c r="V39" s="303">
        <f>SUM(Q39,Q38,Q37,Q36,Q43,Q57,Q58,Q88:Q94,Q84,Q96,Q97,Q101,Q102,Q109,Q121)</f>
        <v>3090.8999999999996</v>
      </c>
    </row>
    <row r="40" spans="2:22" ht="15.75" customHeight="1" x14ac:dyDescent="0.2">
      <c r="C40" s="69"/>
      <c r="P40" s="253" t="s">
        <v>35</v>
      </c>
      <c r="Q40" s="282">
        <v>9</v>
      </c>
      <c r="R40" s="278">
        <v>46119</v>
      </c>
      <c r="S40" s="253" t="s">
        <v>158</v>
      </c>
      <c r="T40" s="253" t="s">
        <v>418</v>
      </c>
      <c r="U40" s="37">
        <v>0</v>
      </c>
    </row>
    <row r="41" spans="2:22" ht="15.75" customHeight="1" x14ac:dyDescent="0.2">
      <c r="P41" s="93" t="s">
        <v>58</v>
      </c>
      <c r="Q41" s="279">
        <v>10.45</v>
      </c>
      <c r="R41" s="276">
        <v>46119</v>
      </c>
      <c r="S41" s="93" t="s">
        <v>609</v>
      </c>
      <c r="T41" s="93"/>
      <c r="U41" s="37"/>
    </row>
    <row r="42" spans="2:22" ht="15.75" customHeight="1" x14ac:dyDescent="0.2">
      <c r="P42" s="93" t="s">
        <v>50</v>
      </c>
      <c r="Q42" s="279">
        <v>86.92</v>
      </c>
      <c r="R42" s="276">
        <v>46119</v>
      </c>
      <c r="S42" s="93" t="s">
        <v>220</v>
      </c>
      <c r="T42" s="93"/>
      <c r="U42" s="37"/>
    </row>
    <row r="43" spans="2:22" ht="15.75" customHeight="1" x14ac:dyDescent="0.2">
      <c r="P43" s="253" t="s">
        <v>50</v>
      </c>
      <c r="Q43" s="282">
        <v>34.58</v>
      </c>
      <c r="R43" s="278">
        <v>46120</v>
      </c>
      <c r="S43" s="253" t="s">
        <v>606</v>
      </c>
      <c r="T43" s="253" t="s">
        <v>418</v>
      </c>
      <c r="U43" s="37">
        <v>0</v>
      </c>
    </row>
    <row r="44" spans="2:22" ht="15.75" customHeight="1" x14ac:dyDescent="0.2">
      <c r="P44" s="93" t="s">
        <v>35</v>
      </c>
      <c r="Q44" s="279">
        <v>12.58</v>
      </c>
      <c r="R44" s="276">
        <v>46120</v>
      </c>
      <c r="S44" s="93" t="s">
        <v>608</v>
      </c>
      <c r="T44" s="93"/>
      <c r="U44" s="37"/>
    </row>
    <row r="45" spans="2:22" ht="15.75" customHeight="1" x14ac:dyDescent="0.2">
      <c r="P45" s="93" t="s">
        <v>58</v>
      </c>
      <c r="Q45" s="279">
        <v>10</v>
      </c>
      <c r="R45" s="276">
        <v>46120</v>
      </c>
      <c r="S45" s="93" t="s">
        <v>263</v>
      </c>
      <c r="T45" s="93"/>
      <c r="U45" s="37"/>
      <c r="V45" s="51"/>
    </row>
    <row r="46" spans="2:22" ht="15" customHeight="1" x14ac:dyDescent="0.2">
      <c r="N46" s="96"/>
      <c r="P46" s="93" t="s">
        <v>35</v>
      </c>
      <c r="Q46" s="279">
        <v>7.94</v>
      </c>
      <c r="R46" s="276">
        <v>46120</v>
      </c>
      <c r="S46" s="93" t="s">
        <v>52</v>
      </c>
      <c r="T46" s="93"/>
      <c r="U46" s="52"/>
      <c r="V46" s="51"/>
    </row>
    <row r="47" spans="2:22" ht="15.75" customHeight="1" x14ac:dyDescent="0.2">
      <c r="O47" s="96"/>
      <c r="P47" s="93" t="s">
        <v>35</v>
      </c>
      <c r="Q47" s="279">
        <v>100</v>
      </c>
      <c r="R47" s="276">
        <v>46120</v>
      </c>
      <c r="S47" s="93" t="s">
        <v>610</v>
      </c>
      <c r="T47" s="93"/>
      <c r="U47" s="37"/>
    </row>
    <row r="48" spans="2:22" ht="15.75" customHeight="1" x14ac:dyDescent="0.2">
      <c r="F48" s="69"/>
      <c r="P48" s="93" t="s">
        <v>35</v>
      </c>
      <c r="Q48" s="279">
        <v>7.96</v>
      </c>
      <c r="R48" s="276">
        <v>46121</v>
      </c>
      <c r="S48" s="93" t="s">
        <v>52</v>
      </c>
      <c r="T48" s="93"/>
      <c r="U48" s="37"/>
    </row>
    <row r="49" spans="13:21" ht="15.75" customHeight="1" x14ac:dyDescent="0.2">
      <c r="P49" s="93" t="s">
        <v>35</v>
      </c>
      <c r="Q49" s="279">
        <v>7.96</v>
      </c>
      <c r="R49" s="276">
        <v>46121</v>
      </c>
      <c r="S49" s="93" t="s">
        <v>52</v>
      </c>
      <c r="T49" s="93"/>
      <c r="U49" s="37"/>
    </row>
    <row r="50" spans="13:21" ht="15.75" customHeight="1" x14ac:dyDescent="0.2">
      <c r="P50" s="93" t="s">
        <v>35</v>
      </c>
      <c r="Q50" s="279">
        <v>7.95</v>
      </c>
      <c r="R50" s="276">
        <v>46122</v>
      </c>
      <c r="S50" s="93" t="s">
        <v>52</v>
      </c>
      <c r="T50" s="93"/>
      <c r="U50" s="37"/>
    </row>
    <row r="51" spans="13:21" ht="15.75" customHeight="1" x14ac:dyDescent="0.2">
      <c r="P51" s="93" t="s">
        <v>35</v>
      </c>
      <c r="Q51" s="279">
        <v>7.94</v>
      </c>
      <c r="R51" s="276">
        <v>46122</v>
      </c>
      <c r="S51" s="93" t="s">
        <v>52</v>
      </c>
      <c r="T51" s="93"/>
      <c r="U51" s="37"/>
    </row>
    <row r="52" spans="13:21" ht="15.75" customHeight="1" x14ac:dyDescent="0.2">
      <c r="P52" s="93" t="s">
        <v>59</v>
      </c>
      <c r="Q52" s="279">
        <v>10.3</v>
      </c>
      <c r="R52" s="276">
        <v>46122</v>
      </c>
      <c r="S52" s="93" t="s">
        <v>180</v>
      </c>
      <c r="T52" s="93"/>
      <c r="U52" s="37"/>
    </row>
    <row r="53" spans="13:21" ht="15.75" customHeight="1" x14ac:dyDescent="0.2">
      <c r="P53" s="93" t="s">
        <v>50</v>
      </c>
      <c r="Q53" s="279">
        <v>16.82</v>
      </c>
      <c r="R53" s="276">
        <v>46122</v>
      </c>
      <c r="S53" s="93" t="s">
        <v>220</v>
      </c>
      <c r="T53" s="93"/>
      <c r="U53" s="37"/>
    </row>
    <row r="54" spans="13:21" ht="15.75" customHeight="1" x14ac:dyDescent="0.2">
      <c r="P54" s="93" t="s">
        <v>58</v>
      </c>
      <c r="Q54" s="279">
        <v>20</v>
      </c>
      <c r="R54" s="276">
        <v>46123</v>
      </c>
      <c r="S54" s="93" t="s">
        <v>250</v>
      </c>
      <c r="T54" s="93"/>
      <c r="U54" s="37"/>
    </row>
    <row r="55" spans="13:21" ht="15.75" customHeight="1" x14ac:dyDescent="0.2">
      <c r="P55" s="93" t="s">
        <v>50</v>
      </c>
      <c r="Q55" s="279">
        <v>20.85</v>
      </c>
      <c r="R55" s="276">
        <v>46123</v>
      </c>
      <c r="S55" s="93" t="s">
        <v>206</v>
      </c>
      <c r="T55" s="93"/>
      <c r="U55" s="37"/>
    </row>
    <row r="56" spans="13:21" ht="15.75" customHeight="1" x14ac:dyDescent="0.2">
      <c r="P56" s="93" t="s">
        <v>33</v>
      </c>
      <c r="Q56" s="279">
        <v>31</v>
      </c>
      <c r="R56" s="276">
        <v>46123</v>
      </c>
      <c r="S56" s="93" t="s">
        <v>328</v>
      </c>
      <c r="T56" s="93"/>
      <c r="U56" s="37"/>
    </row>
    <row r="57" spans="13:21" ht="15.75" customHeight="1" x14ac:dyDescent="0.2">
      <c r="P57" s="253" t="s">
        <v>33</v>
      </c>
      <c r="Q57" s="282">
        <v>40</v>
      </c>
      <c r="R57" s="278">
        <v>46124</v>
      </c>
      <c r="S57" s="253" t="s">
        <v>613</v>
      </c>
      <c r="T57" s="253" t="s">
        <v>418</v>
      </c>
      <c r="U57" s="37">
        <v>0</v>
      </c>
    </row>
    <row r="58" spans="13:21" ht="15.75" customHeight="1" x14ac:dyDescent="0.2">
      <c r="P58" s="253" t="s">
        <v>21</v>
      </c>
      <c r="Q58" s="282">
        <v>44.55</v>
      </c>
      <c r="R58" s="278">
        <v>46124</v>
      </c>
      <c r="S58" s="253" t="s">
        <v>67</v>
      </c>
      <c r="T58" s="253" t="s">
        <v>418</v>
      </c>
      <c r="U58" s="37">
        <v>0</v>
      </c>
    </row>
    <row r="59" spans="13:21" ht="15.75" customHeight="1" x14ac:dyDescent="0.2">
      <c r="P59" s="93" t="s">
        <v>50</v>
      </c>
      <c r="Q59" s="279">
        <v>165.31</v>
      </c>
      <c r="R59" s="276">
        <v>46124</v>
      </c>
      <c r="S59" s="93" t="s">
        <v>596</v>
      </c>
      <c r="T59" s="93"/>
      <c r="U59" s="37"/>
    </row>
    <row r="60" spans="13:21" ht="15.75" customHeight="1" x14ac:dyDescent="0.2">
      <c r="M60" t="s">
        <v>39</v>
      </c>
      <c r="O60" t="s">
        <v>39</v>
      </c>
      <c r="P60" s="93" t="s">
        <v>50</v>
      </c>
      <c r="Q60" s="279">
        <v>17.829999999999998</v>
      </c>
      <c r="R60" s="276">
        <v>46124</v>
      </c>
      <c r="S60" s="93" t="s">
        <v>206</v>
      </c>
      <c r="T60" s="93"/>
      <c r="U60" s="37"/>
    </row>
    <row r="61" spans="13:21" ht="15.75" customHeight="1" x14ac:dyDescent="0.2">
      <c r="P61" s="93" t="s">
        <v>35</v>
      </c>
      <c r="Q61" s="279">
        <v>6.94</v>
      </c>
      <c r="R61" s="276">
        <v>46125</v>
      </c>
      <c r="S61" s="93" t="s">
        <v>52</v>
      </c>
      <c r="T61" s="93"/>
      <c r="U61" s="37"/>
    </row>
    <row r="62" spans="13:21" ht="15.75" customHeight="1" x14ac:dyDescent="0.2">
      <c r="P62" s="93" t="s">
        <v>35</v>
      </c>
      <c r="Q62" s="279">
        <v>7.96</v>
      </c>
      <c r="R62" s="276">
        <v>46125</v>
      </c>
      <c r="S62" s="93" t="s">
        <v>52</v>
      </c>
      <c r="T62" s="93"/>
      <c r="U62" s="37"/>
    </row>
    <row r="63" spans="13:21" ht="15.75" customHeight="1" x14ac:dyDescent="0.2">
      <c r="P63" s="93" t="s">
        <v>35</v>
      </c>
      <c r="Q63" s="279">
        <v>8.93</v>
      </c>
      <c r="R63" s="276">
        <v>46125</v>
      </c>
      <c r="S63" s="93" t="s">
        <v>52</v>
      </c>
      <c r="T63" s="93"/>
      <c r="U63" s="37"/>
    </row>
    <row r="64" spans="13:21" ht="15.75" customHeight="1" x14ac:dyDescent="0.2">
      <c r="P64" s="93" t="s">
        <v>35</v>
      </c>
      <c r="Q64" s="279">
        <v>7.96</v>
      </c>
      <c r="R64" s="276">
        <v>46125</v>
      </c>
      <c r="S64" s="93" t="s">
        <v>52</v>
      </c>
      <c r="T64" s="93"/>
      <c r="U64" s="37"/>
    </row>
    <row r="65" spans="15:22" ht="15.75" customHeight="1" x14ac:dyDescent="0.2">
      <c r="P65" s="290" t="s">
        <v>58</v>
      </c>
      <c r="Q65" s="291">
        <v>10</v>
      </c>
      <c r="R65" s="292">
        <v>46125</v>
      </c>
      <c r="S65" s="290" t="s">
        <v>476</v>
      </c>
      <c r="T65" s="290"/>
      <c r="U65" s="37"/>
    </row>
    <row r="66" spans="15:22" ht="15.75" customHeight="1" x14ac:dyDescent="0.2">
      <c r="O66" s="288"/>
      <c r="P66" s="293" t="s">
        <v>35</v>
      </c>
      <c r="Q66" s="294">
        <v>7.95</v>
      </c>
      <c r="R66" s="295">
        <v>46126</v>
      </c>
      <c r="S66" s="93" t="s">
        <v>52</v>
      </c>
      <c r="T66" s="296"/>
      <c r="U66" s="44"/>
    </row>
    <row r="67" spans="15:22" ht="15.75" customHeight="1" x14ac:dyDescent="0.2">
      <c r="P67" s="289" t="s">
        <v>35</v>
      </c>
      <c r="Q67" s="279">
        <v>7.94</v>
      </c>
      <c r="R67" s="276">
        <v>46126</v>
      </c>
      <c r="S67" s="289" t="s">
        <v>52</v>
      </c>
      <c r="T67" s="296"/>
      <c r="U67" s="37"/>
    </row>
    <row r="68" spans="15:22" ht="15.75" customHeight="1" x14ac:dyDescent="0.2">
      <c r="P68" s="93" t="s">
        <v>50</v>
      </c>
      <c r="Q68" s="279">
        <v>38.29</v>
      </c>
      <c r="R68" s="276">
        <v>46126</v>
      </c>
      <c r="S68" s="93" t="s">
        <v>220</v>
      </c>
      <c r="T68" s="93"/>
      <c r="U68" s="37"/>
    </row>
    <row r="69" spans="15:22" ht="15.75" customHeight="1" x14ac:dyDescent="0.2">
      <c r="P69" s="93" t="s">
        <v>35</v>
      </c>
      <c r="Q69" s="279">
        <v>7.94</v>
      </c>
      <c r="R69" s="276">
        <v>46127</v>
      </c>
      <c r="S69" s="93" t="s">
        <v>52</v>
      </c>
      <c r="T69" s="93"/>
      <c r="U69" s="37"/>
    </row>
    <row r="70" spans="15:22" ht="15.75" customHeight="1" x14ac:dyDescent="0.2">
      <c r="P70" s="93" t="s">
        <v>35</v>
      </c>
      <c r="Q70" s="279">
        <v>7.95</v>
      </c>
      <c r="R70" s="276">
        <v>46127</v>
      </c>
      <c r="S70" s="93" t="s">
        <v>52</v>
      </c>
      <c r="T70" s="93"/>
      <c r="U70" s="37"/>
    </row>
    <row r="71" spans="15:22" ht="15.75" customHeight="1" x14ac:dyDescent="0.2">
      <c r="P71" s="93" t="s">
        <v>35</v>
      </c>
      <c r="Q71" s="279">
        <v>7.95</v>
      </c>
      <c r="R71" s="276">
        <v>46128</v>
      </c>
      <c r="S71" s="93" t="s">
        <v>52</v>
      </c>
      <c r="T71" s="93"/>
      <c r="U71" s="37"/>
    </row>
    <row r="72" spans="15:22" ht="15.75" customHeight="1" x14ac:dyDescent="0.2">
      <c r="P72" s="93" t="s">
        <v>35</v>
      </c>
      <c r="Q72" s="279">
        <v>7.95</v>
      </c>
      <c r="R72" s="276">
        <v>46128</v>
      </c>
      <c r="S72" s="93" t="s">
        <v>52</v>
      </c>
      <c r="T72" s="93"/>
      <c r="U72" s="37"/>
    </row>
    <row r="73" spans="15:22" ht="15.75" customHeight="1" x14ac:dyDescent="0.2">
      <c r="P73" s="93" t="s">
        <v>58</v>
      </c>
      <c r="Q73" s="279">
        <v>23</v>
      </c>
      <c r="R73" s="276">
        <v>46128</v>
      </c>
      <c r="S73" s="93" t="s">
        <v>611</v>
      </c>
      <c r="T73" s="93"/>
      <c r="U73" s="37"/>
    </row>
    <row r="74" spans="15:22" ht="15.75" customHeight="1" x14ac:dyDescent="0.2">
      <c r="P74" s="93" t="s">
        <v>35</v>
      </c>
      <c r="Q74" s="279">
        <v>14.96</v>
      </c>
      <c r="R74" s="276">
        <v>46128</v>
      </c>
      <c r="S74" s="93" t="s">
        <v>612</v>
      </c>
      <c r="T74" s="93"/>
      <c r="U74" s="37"/>
    </row>
    <row r="75" spans="15:22" ht="15.75" customHeight="1" x14ac:dyDescent="0.2">
      <c r="P75" s="284"/>
      <c r="Q75" s="285">
        <v>1509</v>
      </c>
      <c r="R75" s="286">
        <v>46128</v>
      </c>
      <c r="S75" s="284" t="s">
        <v>614</v>
      </c>
      <c r="T75" s="284" t="s">
        <v>615</v>
      </c>
      <c r="U75" s="37"/>
    </row>
    <row r="76" spans="15:22" ht="15.75" customHeight="1" x14ac:dyDescent="0.2">
      <c r="P76" s="93" t="s">
        <v>35</v>
      </c>
      <c r="Q76" s="279">
        <v>6.96</v>
      </c>
      <c r="R76" s="276">
        <v>46129</v>
      </c>
      <c r="S76" s="93" t="s">
        <v>52</v>
      </c>
      <c r="T76" s="93"/>
      <c r="U76" s="37"/>
    </row>
    <row r="77" spans="15:22" ht="15.75" customHeight="1" x14ac:dyDescent="0.2">
      <c r="P77" s="93" t="s">
        <v>35</v>
      </c>
      <c r="Q77" s="279">
        <v>7.96</v>
      </c>
      <c r="R77" s="276">
        <v>46129</v>
      </c>
      <c r="S77" s="93" t="s">
        <v>52</v>
      </c>
      <c r="T77" s="93"/>
      <c r="U77" s="37"/>
    </row>
    <row r="78" spans="15:22" ht="15.75" customHeight="1" x14ac:dyDescent="0.2">
      <c r="P78" s="93" t="s">
        <v>50</v>
      </c>
      <c r="Q78" s="279">
        <v>6.49</v>
      </c>
      <c r="R78" s="276">
        <v>46129</v>
      </c>
      <c r="S78" s="93" t="s">
        <v>457</v>
      </c>
      <c r="T78" s="93"/>
      <c r="U78" s="37"/>
    </row>
    <row r="79" spans="15:22" ht="15.75" customHeight="1" x14ac:dyDescent="0.2">
      <c r="P79" s="93" t="s">
        <v>50</v>
      </c>
      <c r="Q79" s="279">
        <v>60.83</v>
      </c>
      <c r="R79" s="276">
        <v>46129</v>
      </c>
      <c r="S79" s="93" t="s">
        <v>220</v>
      </c>
      <c r="T79" s="93"/>
      <c r="U79" s="37"/>
      <c r="V79" s="69">
        <f>V124+V39</f>
        <v>3293.0499999999997</v>
      </c>
    </row>
    <row r="80" spans="15:22" ht="15.75" customHeight="1" x14ac:dyDescent="0.2">
      <c r="P80" s="93" t="s">
        <v>59</v>
      </c>
      <c r="Q80" s="279">
        <v>13.49</v>
      </c>
      <c r="R80" s="276">
        <v>46130</v>
      </c>
      <c r="S80" s="93" t="s">
        <v>618</v>
      </c>
      <c r="T80" s="93"/>
      <c r="U80" s="37"/>
    </row>
    <row r="81" spans="14:21" ht="15.75" customHeight="1" x14ac:dyDescent="0.2">
      <c r="P81" s="93" t="s">
        <v>35</v>
      </c>
      <c r="Q81" s="279">
        <v>7.95</v>
      </c>
      <c r="R81" s="276">
        <v>46130</v>
      </c>
      <c r="S81" s="93" t="s">
        <v>52</v>
      </c>
      <c r="T81" s="93"/>
      <c r="U81" s="37"/>
    </row>
    <row r="82" spans="14:21" ht="15.75" customHeight="1" x14ac:dyDescent="0.2">
      <c r="P82" s="93" t="s">
        <v>59</v>
      </c>
      <c r="Q82" s="279">
        <f>27.59/2</f>
        <v>13.795</v>
      </c>
      <c r="R82" s="276">
        <v>46130</v>
      </c>
      <c r="S82" s="93" t="s">
        <v>627</v>
      </c>
      <c r="T82" s="93"/>
      <c r="U82" s="37"/>
    </row>
    <row r="83" spans="14:21" ht="15.75" customHeight="1" x14ac:dyDescent="0.2">
      <c r="P83" s="93" t="s">
        <v>58</v>
      </c>
      <c r="Q83" s="279">
        <f>27.59/2</f>
        <v>13.795</v>
      </c>
      <c r="R83" s="276">
        <v>46130</v>
      </c>
      <c r="S83" s="93" t="s">
        <v>627</v>
      </c>
      <c r="T83" s="93"/>
      <c r="U83" s="37"/>
    </row>
    <row r="84" spans="14:21" ht="15.75" customHeight="1" x14ac:dyDescent="0.2">
      <c r="P84" s="297" t="s">
        <v>626</v>
      </c>
      <c r="Q84" s="298">
        <v>98.63</v>
      </c>
      <c r="R84" s="299">
        <v>46130</v>
      </c>
      <c r="S84" s="297" t="s">
        <v>497</v>
      </c>
      <c r="T84" s="297" t="s">
        <v>418</v>
      </c>
      <c r="U84" s="37">
        <v>0</v>
      </c>
    </row>
    <row r="85" spans="14:21" ht="15.75" customHeight="1" x14ac:dyDescent="0.2">
      <c r="P85" s="297" t="s">
        <v>628</v>
      </c>
      <c r="Q85" s="298">
        <f>Q84+Q83-200</f>
        <v>-87.575000000000003</v>
      </c>
      <c r="R85" s="299">
        <v>46130</v>
      </c>
      <c r="S85" s="297" t="s">
        <v>497</v>
      </c>
      <c r="T85" s="297" t="s">
        <v>39</v>
      </c>
      <c r="U85" s="37"/>
    </row>
    <row r="86" spans="14:21" ht="15.75" customHeight="1" x14ac:dyDescent="0.2">
      <c r="P86" s="253" t="s">
        <v>59</v>
      </c>
      <c r="Q86" s="282">
        <v>17</v>
      </c>
      <c r="R86" s="278">
        <v>46130</v>
      </c>
      <c r="S86" s="253" t="s">
        <v>629</v>
      </c>
      <c r="T86" s="253" t="s">
        <v>39</v>
      </c>
      <c r="U86" s="37"/>
    </row>
    <row r="87" spans="14:21" ht="15.75" customHeight="1" x14ac:dyDescent="0.2">
      <c r="P87" s="253" t="s">
        <v>58</v>
      </c>
      <c r="Q87" s="282">
        <f>Q85-Q86</f>
        <v>-104.575</v>
      </c>
      <c r="R87" s="278">
        <v>46130</v>
      </c>
      <c r="S87" s="253" t="s">
        <v>629</v>
      </c>
      <c r="T87" s="253" t="s">
        <v>39</v>
      </c>
      <c r="U87" s="37"/>
    </row>
    <row r="88" spans="14:21" ht="15.75" customHeight="1" x14ac:dyDescent="0.2">
      <c r="N88" s="69"/>
      <c r="P88" s="253" t="s">
        <v>59</v>
      </c>
      <c r="Q88" s="282">
        <v>15</v>
      </c>
      <c r="R88" s="278">
        <v>46130</v>
      </c>
      <c r="S88" s="253" t="s">
        <v>621</v>
      </c>
      <c r="T88" s="253" t="s">
        <v>418</v>
      </c>
      <c r="U88" s="37">
        <v>0</v>
      </c>
    </row>
    <row r="89" spans="14:21" ht="15.75" customHeight="1" x14ac:dyDescent="0.2">
      <c r="P89" s="253" t="s">
        <v>58</v>
      </c>
      <c r="Q89" s="282">
        <v>15</v>
      </c>
      <c r="R89" s="278">
        <v>46130</v>
      </c>
      <c r="S89" s="253" t="s">
        <v>621</v>
      </c>
      <c r="T89" s="253" t="s">
        <v>418</v>
      </c>
      <c r="U89" s="37">
        <v>0</v>
      </c>
    </row>
    <row r="90" spans="14:21" ht="15.75" customHeight="1" x14ac:dyDescent="0.2">
      <c r="P90" s="253" t="s">
        <v>58</v>
      </c>
      <c r="Q90" s="282">
        <v>17.989999999999998</v>
      </c>
      <c r="R90" s="278">
        <v>46130</v>
      </c>
      <c r="S90" s="253" t="s">
        <v>622</v>
      </c>
      <c r="T90" s="253" t="s">
        <v>418</v>
      </c>
      <c r="U90" s="37">
        <v>0</v>
      </c>
    </row>
    <row r="91" spans="14:21" ht="15.75" customHeight="1" x14ac:dyDescent="0.2">
      <c r="P91" s="253" t="s">
        <v>59</v>
      </c>
      <c r="Q91" s="282">
        <v>21.9</v>
      </c>
      <c r="R91" s="278">
        <v>46130</v>
      </c>
      <c r="S91" s="253" t="s">
        <v>623</v>
      </c>
      <c r="T91" s="253" t="s">
        <v>418</v>
      </c>
      <c r="U91" s="37">
        <v>0</v>
      </c>
    </row>
    <row r="92" spans="14:21" ht="15.75" customHeight="1" x14ac:dyDescent="0.2">
      <c r="P92" s="253" t="s">
        <v>32</v>
      </c>
      <c r="Q92" s="282">
        <v>276.93</v>
      </c>
      <c r="R92" s="278">
        <v>46130</v>
      </c>
      <c r="S92" s="253" t="s">
        <v>624</v>
      </c>
      <c r="T92" s="253" t="s">
        <v>418</v>
      </c>
      <c r="U92" s="37">
        <v>0</v>
      </c>
    </row>
    <row r="93" spans="14:21" ht="15.75" customHeight="1" x14ac:dyDescent="0.2">
      <c r="P93" s="253" t="s">
        <v>58</v>
      </c>
      <c r="Q93" s="282">
        <v>14.63</v>
      </c>
      <c r="R93" s="278">
        <v>46130</v>
      </c>
      <c r="S93" s="253" t="s">
        <v>625</v>
      </c>
      <c r="T93" s="253" t="s">
        <v>418</v>
      </c>
      <c r="U93" s="37">
        <v>0</v>
      </c>
    </row>
    <row r="94" spans="14:21" ht="15.75" customHeight="1" x14ac:dyDescent="0.2">
      <c r="P94" s="253" t="s">
        <v>35</v>
      </c>
      <c r="Q94" s="282">
        <v>18.59</v>
      </c>
      <c r="R94" s="278">
        <v>46131</v>
      </c>
      <c r="S94" s="253" t="s">
        <v>619</v>
      </c>
      <c r="T94" s="253" t="s">
        <v>418</v>
      </c>
      <c r="U94" s="37">
        <v>0</v>
      </c>
    </row>
    <row r="95" spans="14:21" ht="15.75" customHeight="1" x14ac:dyDescent="0.2">
      <c r="P95" s="93" t="s">
        <v>35</v>
      </c>
      <c r="Q95" s="279">
        <v>5</v>
      </c>
      <c r="R95" s="276">
        <v>46131</v>
      </c>
      <c r="S95" s="93" t="s">
        <v>620</v>
      </c>
      <c r="T95" s="93"/>
      <c r="U95" s="37"/>
    </row>
    <row r="96" spans="14:21" ht="15.75" customHeight="1" x14ac:dyDescent="0.2">
      <c r="P96" s="253" t="s">
        <v>21</v>
      </c>
      <c r="Q96" s="282">
        <v>56.68</v>
      </c>
      <c r="R96" s="278">
        <v>46131</v>
      </c>
      <c r="S96" s="253" t="s">
        <v>223</v>
      </c>
      <c r="T96" s="253" t="s">
        <v>418</v>
      </c>
      <c r="U96" s="37">
        <v>0</v>
      </c>
    </row>
    <row r="97" spans="16:21" ht="15.75" customHeight="1" x14ac:dyDescent="0.2">
      <c r="P97" s="297" t="s">
        <v>626</v>
      </c>
      <c r="Q97" s="298">
        <v>157.97</v>
      </c>
      <c r="R97" s="299">
        <v>46131</v>
      </c>
      <c r="S97" s="297" t="s">
        <v>497</v>
      </c>
      <c r="T97" s="297" t="s">
        <v>418</v>
      </c>
      <c r="U97" s="37">
        <v>0</v>
      </c>
    </row>
    <row r="98" spans="16:21" ht="15.75" customHeight="1" x14ac:dyDescent="0.2">
      <c r="P98" s="147" t="s">
        <v>35</v>
      </c>
      <c r="Q98" s="279">
        <v>9.9499999999999993</v>
      </c>
      <c r="R98" s="276">
        <v>46132</v>
      </c>
      <c r="S98" s="93" t="s">
        <v>52</v>
      </c>
      <c r="T98" s="93"/>
      <c r="U98" s="37"/>
    </row>
    <row r="99" spans="16:21" ht="15.75" customHeight="1" x14ac:dyDescent="0.2">
      <c r="P99" s="93" t="s">
        <v>35</v>
      </c>
      <c r="Q99" s="279">
        <v>7.95</v>
      </c>
      <c r="R99" s="276">
        <v>46132</v>
      </c>
      <c r="S99" s="93" t="s">
        <v>52</v>
      </c>
      <c r="T99" s="93"/>
      <c r="U99" s="37"/>
    </row>
    <row r="100" spans="16:21" ht="15.75" customHeight="1" x14ac:dyDescent="0.2">
      <c r="P100" s="93" t="s">
        <v>58</v>
      </c>
      <c r="Q100" s="279">
        <v>27.59</v>
      </c>
      <c r="R100" s="276">
        <v>46132</v>
      </c>
      <c r="S100" s="93" t="s">
        <v>632</v>
      </c>
      <c r="T100" s="93"/>
      <c r="U100" s="37"/>
    </row>
    <row r="101" spans="16:21" ht="15.75" customHeight="1" x14ac:dyDescent="0.2">
      <c r="P101" s="253" t="s">
        <v>19</v>
      </c>
      <c r="Q101" s="282">
        <v>99.8</v>
      </c>
      <c r="R101" s="278">
        <v>46132</v>
      </c>
      <c r="S101" s="253" t="s">
        <v>635</v>
      </c>
      <c r="T101" s="253" t="s">
        <v>418</v>
      </c>
      <c r="U101" s="37">
        <v>0</v>
      </c>
    </row>
    <row r="102" spans="16:21" ht="15.75" customHeight="1" x14ac:dyDescent="0.2">
      <c r="P102" s="253" t="s">
        <v>50</v>
      </c>
      <c r="Q102" s="282">
        <v>235.16</v>
      </c>
      <c r="R102" s="278">
        <v>46132</v>
      </c>
      <c r="S102" s="253" t="s">
        <v>47</v>
      </c>
      <c r="T102" s="253" t="s">
        <v>418</v>
      </c>
      <c r="U102" s="37">
        <v>0</v>
      </c>
    </row>
    <row r="103" spans="16:21" ht="15.75" customHeight="1" x14ac:dyDescent="0.2">
      <c r="P103" s="93" t="s">
        <v>33</v>
      </c>
      <c r="Q103" s="279">
        <v>42</v>
      </c>
      <c r="R103" s="276">
        <v>46132</v>
      </c>
      <c r="S103" s="93" t="s">
        <v>267</v>
      </c>
      <c r="T103" s="93"/>
      <c r="U103" s="37"/>
    </row>
    <row r="104" spans="16:21" ht="15.75" customHeight="1" x14ac:dyDescent="0.2">
      <c r="P104" s="93" t="s">
        <v>35</v>
      </c>
      <c r="Q104" s="279">
        <v>16.96</v>
      </c>
      <c r="R104" s="276">
        <v>46133</v>
      </c>
      <c r="S104" s="93" t="s">
        <v>209</v>
      </c>
      <c r="T104" s="93"/>
      <c r="U104" s="37"/>
    </row>
    <row r="105" spans="16:21" ht="15.75" customHeight="1" x14ac:dyDescent="0.2">
      <c r="P105" s="93" t="s">
        <v>35</v>
      </c>
      <c r="Q105" s="279">
        <v>16.93</v>
      </c>
      <c r="R105" s="276">
        <v>46133</v>
      </c>
      <c r="S105" s="93" t="s">
        <v>209</v>
      </c>
      <c r="T105" s="93"/>
      <c r="U105" s="37"/>
    </row>
    <row r="106" spans="16:21" ht="15.75" customHeight="1" x14ac:dyDescent="0.2">
      <c r="P106" s="93" t="s">
        <v>35</v>
      </c>
      <c r="Q106" s="279">
        <v>7.95</v>
      </c>
      <c r="R106" s="276">
        <v>46134</v>
      </c>
      <c r="S106" s="93" t="s">
        <v>209</v>
      </c>
      <c r="T106" s="93"/>
      <c r="U106" s="37"/>
    </row>
    <row r="107" spans="16:21" ht="15.75" customHeight="1" x14ac:dyDescent="0.2">
      <c r="P107" s="93" t="s">
        <v>35</v>
      </c>
      <c r="Q107" s="279">
        <v>12.96</v>
      </c>
      <c r="R107" s="276">
        <v>46134</v>
      </c>
      <c r="S107" s="93" t="s">
        <v>209</v>
      </c>
      <c r="T107" s="93"/>
      <c r="U107" s="37"/>
    </row>
    <row r="108" spans="16:21" ht="15.75" customHeight="1" x14ac:dyDescent="0.2">
      <c r="P108" s="93" t="s">
        <v>35</v>
      </c>
      <c r="Q108" s="279">
        <v>35</v>
      </c>
      <c r="R108" s="276">
        <v>46135</v>
      </c>
      <c r="S108" s="93" t="s">
        <v>631</v>
      </c>
      <c r="T108" s="93"/>
      <c r="U108" s="37"/>
    </row>
    <row r="109" spans="16:21" ht="15.75" customHeight="1" x14ac:dyDescent="0.2">
      <c r="P109" s="253" t="s">
        <v>58</v>
      </c>
      <c r="Q109" s="282">
        <v>20</v>
      </c>
      <c r="R109" s="278">
        <v>46135</v>
      </c>
      <c r="S109" s="253" t="s">
        <v>634</v>
      </c>
      <c r="T109" s="253" t="s">
        <v>418</v>
      </c>
      <c r="U109" s="37">
        <v>0</v>
      </c>
    </row>
    <row r="110" spans="16:21" ht="15.75" customHeight="1" x14ac:dyDescent="0.2">
      <c r="P110" s="93" t="s">
        <v>35</v>
      </c>
      <c r="Q110" s="279">
        <v>7.94</v>
      </c>
      <c r="R110" s="276">
        <v>46135</v>
      </c>
      <c r="S110" s="93" t="s">
        <v>209</v>
      </c>
      <c r="T110" s="93"/>
      <c r="U110" s="37"/>
    </row>
    <row r="111" spans="16:21" ht="15.75" customHeight="1" x14ac:dyDescent="0.2">
      <c r="P111" s="93" t="s">
        <v>35</v>
      </c>
      <c r="Q111" s="279">
        <v>7.95</v>
      </c>
      <c r="R111" s="276">
        <v>46135</v>
      </c>
      <c r="S111" s="93" t="s">
        <v>209</v>
      </c>
      <c r="T111" s="93"/>
      <c r="U111" s="37"/>
    </row>
    <row r="112" spans="16:21" ht="15.75" customHeight="1" x14ac:dyDescent="0.2">
      <c r="P112" s="93" t="s">
        <v>58</v>
      </c>
      <c r="Q112" s="279">
        <v>24.58</v>
      </c>
      <c r="R112" s="276">
        <v>46136</v>
      </c>
      <c r="S112" s="93" t="s">
        <v>630</v>
      </c>
      <c r="T112" s="93"/>
      <c r="U112" s="37"/>
    </row>
    <row r="113" spans="16:22" ht="15.75" customHeight="1" x14ac:dyDescent="0.2">
      <c r="P113" s="93" t="s">
        <v>35</v>
      </c>
      <c r="Q113" s="279">
        <v>5.56</v>
      </c>
      <c r="R113" s="276">
        <v>46136</v>
      </c>
      <c r="S113" s="93" t="s">
        <v>209</v>
      </c>
      <c r="T113" s="93"/>
      <c r="U113" s="37"/>
    </row>
    <row r="114" spans="16:22" ht="15.75" customHeight="1" x14ac:dyDescent="0.2">
      <c r="P114" s="93" t="s">
        <v>35</v>
      </c>
      <c r="Q114" s="279">
        <v>8.9499999999999993</v>
      </c>
      <c r="R114" s="276">
        <v>46136</v>
      </c>
      <c r="S114" s="93" t="s">
        <v>209</v>
      </c>
      <c r="T114" s="93"/>
      <c r="U114" s="37"/>
    </row>
    <row r="115" spans="16:22" ht="15.75" customHeight="1" x14ac:dyDescent="0.2">
      <c r="P115" s="93" t="s">
        <v>35</v>
      </c>
      <c r="Q115" s="279">
        <v>6.7</v>
      </c>
      <c r="R115" s="276">
        <v>46136</v>
      </c>
      <c r="S115" s="93" t="s">
        <v>209</v>
      </c>
      <c r="T115" s="93"/>
      <c r="U115" s="37"/>
    </row>
    <row r="116" spans="16:22" ht="15.75" customHeight="1" x14ac:dyDescent="0.2">
      <c r="P116" s="93" t="s">
        <v>50</v>
      </c>
      <c r="Q116" s="279">
        <f>44.06-18</f>
        <v>26.060000000000002</v>
      </c>
      <c r="R116" s="276">
        <v>46136</v>
      </c>
      <c r="S116" s="93" t="s">
        <v>636</v>
      </c>
      <c r="T116" s="93"/>
      <c r="U116" s="37"/>
    </row>
    <row r="117" spans="16:22" ht="15.75" customHeight="1" x14ac:dyDescent="0.2">
      <c r="P117" s="93" t="s">
        <v>59</v>
      </c>
      <c r="Q117" s="279">
        <v>18</v>
      </c>
      <c r="R117" s="276">
        <v>46136</v>
      </c>
      <c r="S117" s="93" t="s">
        <v>636</v>
      </c>
      <c r="T117" s="93"/>
      <c r="U117" s="37"/>
    </row>
    <row r="118" spans="16:22" ht="15.75" customHeight="1" x14ac:dyDescent="0.2">
      <c r="P118" s="93" t="s">
        <v>59</v>
      </c>
      <c r="Q118" s="279">
        <v>9</v>
      </c>
      <c r="R118" s="276">
        <v>46137</v>
      </c>
      <c r="S118" s="93" t="s">
        <v>340</v>
      </c>
      <c r="T118" s="93"/>
      <c r="U118" s="37"/>
    </row>
    <row r="119" spans="16:22" ht="15.75" customHeight="1" x14ac:dyDescent="0.2">
      <c r="P119" s="93" t="s">
        <v>35</v>
      </c>
      <c r="Q119" s="279">
        <v>7.93</v>
      </c>
      <c r="R119" s="276">
        <v>46137</v>
      </c>
      <c r="S119" s="93" t="s">
        <v>209</v>
      </c>
      <c r="T119" s="93"/>
      <c r="U119" s="37"/>
    </row>
    <row r="120" spans="16:22" ht="15.75" customHeight="1" x14ac:dyDescent="0.2">
      <c r="P120" s="93" t="s">
        <v>35</v>
      </c>
      <c r="Q120" s="279">
        <v>9.94</v>
      </c>
      <c r="R120" s="276">
        <v>46137</v>
      </c>
      <c r="S120" s="93" t="s">
        <v>209</v>
      </c>
      <c r="T120" s="93"/>
      <c r="U120" s="37"/>
    </row>
    <row r="121" spans="16:22" ht="15.75" customHeight="1" x14ac:dyDescent="0.2">
      <c r="P121" s="253" t="s">
        <v>50</v>
      </c>
      <c r="Q121" s="282">
        <v>12.49</v>
      </c>
      <c r="R121" s="278">
        <v>46138</v>
      </c>
      <c r="S121" s="253" t="s">
        <v>633</v>
      </c>
      <c r="T121" s="253" t="s">
        <v>418</v>
      </c>
      <c r="U121" s="37">
        <v>0</v>
      </c>
    </row>
    <row r="122" spans="16:22" ht="15.75" customHeight="1" x14ac:dyDescent="0.2">
      <c r="P122" s="93" t="s">
        <v>32</v>
      </c>
      <c r="Q122" s="279">
        <v>14.98</v>
      </c>
      <c r="R122" s="276">
        <v>46133</v>
      </c>
      <c r="S122" s="93" t="s">
        <v>637</v>
      </c>
      <c r="T122" s="93"/>
      <c r="U122" s="37"/>
    </row>
    <row r="123" spans="16:22" ht="15.75" customHeight="1" x14ac:dyDescent="0.2">
      <c r="P123" s="93" t="s">
        <v>35</v>
      </c>
      <c r="Q123" s="279">
        <v>9.9600000000000009</v>
      </c>
      <c r="R123" s="276">
        <v>46141</v>
      </c>
      <c r="S123" s="279" t="s">
        <v>209</v>
      </c>
      <c r="T123" s="279"/>
      <c r="U123" s="37"/>
    </row>
    <row r="124" spans="16:22" ht="15.75" customHeight="1" x14ac:dyDescent="0.2">
      <c r="P124" s="93" t="s">
        <v>35</v>
      </c>
      <c r="Q124" s="279">
        <v>50</v>
      </c>
      <c r="R124" s="305">
        <v>46139</v>
      </c>
      <c r="S124" s="279" t="s">
        <v>638</v>
      </c>
      <c r="T124" s="279"/>
      <c r="U124" s="37"/>
      <c r="V124" s="69">
        <f>SUM(Q123:Q128)</f>
        <v>202.15</v>
      </c>
    </row>
    <row r="125" spans="16:22" ht="15.75" customHeight="1" x14ac:dyDescent="0.2">
      <c r="P125" s="93" t="s">
        <v>58</v>
      </c>
      <c r="Q125" s="279">
        <v>13.32</v>
      </c>
      <c r="R125" s="305">
        <v>46136</v>
      </c>
      <c r="S125" s="279" t="s">
        <v>639</v>
      </c>
      <c r="T125" s="279"/>
      <c r="U125" s="37"/>
    </row>
    <row r="126" spans="16:22" ht="15.75" customHeight="1" x14ac:dyDescent="0.2">
      <c r="P126" s="253" t="s">
        <v>21</v>
      </c>
      <c r="Q126" s="282">
        <v>50</v>
      </c>
      <c r="R126" s="309">
        <v>46141</v>
      </c>
      <c r="S126" s="282" t="s">
        <v>67</v>
      </c>
      <c r="T126" s="282" t="s">
        <v>418</v>
      </c>
      <c r="U126" s="37"/>
    </row>
    <row r="127" spans="16:22" ht="15.75" customHeight="1" x14ac:dyDescent="0.2">
      <c r="P127" s="253" t="s">
        <v>35</v>
      </c>
      <c r="Q127" s="282">
        <v>61</v>
      </c>
      <c r="R127" s="309">
        <v>46141</v>
      </c>
      <c r="S127" s="282" t="s">
        <v>640</v>
      </c>
      <c r="T127" s="282" t="s">
        <v>418</v>
      </c>
      <c r="U127" s="37"/>
    </row>
    <row r="128" spans="16:22" ht="15.75" customHeight="1" x14ac:dyDescent="0.2">
      <c r="P128" s="253" t="s">
        <v>58</v>
      </c>
      <c r="Q128" s="282">
        <v>17.87</v>
      </c>
      <c r="R128" s="309">
        <v>46140</v>
      </c>
      <c r="S128" s="282" t="s">
        <v>206</v>
      </c>
      <c r="T128" s="282" t="s">
        <v>418</v>
      </c>
      <c r="U128" s="37"/>
    </row>
    <row r="129" spans="16:21" ht="15.75" customHeight="1" x14ac:dyDescent="0.2">
      <c r="P129" s="93" t="s">
        <v>33</v>
      </c>
      <c r="Q129" s="279">
        <v>69.12</v>
      </c>
      <c r="R129" s="306">
        <v>46138</v>
      </c>
      <c r="S129" s="93" t="s">
        <v>641</v>
      </c>
      <c r="T129" s="93"/>
      <c r="U129" s="37"/>
    </row>
    <row r="130" spans="16:21" ht="15.75" customHeight="1" x14ac:dyDescent="0.2">
      <c r="P130" s="93" t="s">
        <v>35</v>
      </c>
      <c r="Q130" s="279">
        <v>7.94</v>
      </c>
      <c r="R130" s="306">
        <v>46139</v>
      </c>
      <c r="S130" s="93" t="s">
        <v>209</v>
      </c>
      <c r="T130" s="93"/>
      <c r="U130" s="37"/>
    </row>
    <row r="131" spans="16:21" ht="15.75" customHeight="1" x14ac:dyDescent="0.2">
      <c r="P131" s="93" t="s">
        <v>35</v>
      </c>
      <c r="Q131" s="279">
        <v>6.95</v>
      </c>
      <c r="R131" s="306">
        <v>46139</v>
      </c>
      <c r="S131" s="93" t="s">
        <v>209</v>
      </c>
      <c r="T131" s="93"/>
      <c r="U131" s="37"/>
    </row>
    <row r="132" spans="16:21" ht="15.75" customHeight="1" x14ac:dyDescent="0.2">
      <c r="P132" s="93" t="s">
        <v>35</v>
      </c>
      <c r="Q132" s="279">
        <v>6.94</v>
      </c>
      <c r="R132" s="306">
        <v>46139</v>
      </c>
      <c r="S132" s="93" t="s">
        <v>209</v>
      </c>
      <c r="T132" s="93"/>
      <c r="U132" s="37"/>
    </row>
    <row r="133" spans="16:21" ht="15.75" customHeight="1" x14ac:dyDescent="0.2">
      <c r="P133" s="93" t="s">
        <v>35</v>
      </c>
      <c r="Q133" s="279">
        <v>7.94</v>
      </c>
      <c r="R133" s="306">
        <v>46140</v>
      </c>
      <c r="S133" s="93" t="s">
        <v>209</v>
      </c>
      <c r="T133" s="93"/>
      <c r="U133" s="37"/>
    </row>
    <row r="134" spans="16:21" ht="15.75" customHeight="1" x14ac:dyDescent="0.2">
      <c r="P134" s="93" t="s">
        <v>35</v>
      </c>
      <c r="Q134" s="279">
        <v>7.95</v>
      </c>
      <c r="R134" s="306">
        <v>46140</v>
      </c>
      <c r="S134" s="93" t="s">
        <v>209</v>
      </c>
      <c r="T134" s="93"/>
      <c r="U134" s="37"/>
    </row>
    <row r="135" spans="16:21" ht="15.75" customHeight="1" x14ac:dyDescent="0.2">
      <c r="P135" s="93" t="s">
        <v>35</v>
      </c>
      <c r="Q135" s="279">
        <v>7.94</v>
      </c>
      <c r="R135" s="306">
        <v>46141</v>
      </c>
      <c r="S135" s="93" t="s">
        <v>209</v>
      </c>
      <c r="T135" s="175"/>
      <c r="U135" s="37"/>
    </row>
    <row r="136" spans="16:21" ht="15.75" customHeight="1" x14ac:dyDescent="0.2">
      <c r="P136" s="93" t="s">
        <v>35</v>
      </c>
      <c r="Q136" s="280">
        <v>8.9499999999999993</v>
      </c>
      <c r="R136" s="307">
        <v>46142</v>
      </c>
      <c r="S136" s="175" t="s">
        <v>209</v>
      </c>
      <c r="T136" s="175"/>
      <c r="U136" s="37"/>
    </row>
    <row r="137" spans="16:21" ht="15.75" customHeight="1" x14ac:dyDescent="0.2">
      <c r="P137" s="93" t="s">
        <v>35</v>
      </c>
      <c r="Q137" s="281">
        <v>7.96</v>
      </c>
      <c r="R137" s="308">
        <v>46142</v>
      </c>
      <c r="S137" s="169" t="s">
        <v>209</v>
      </c>
      <c r="T137" s="175"/>
      <c r="U137" s="37"/>
    </row>
    <row r="138" spans="16:21" ht="15.75" customHeight="1" x14ac:dyDescent="0.2">
      <c r="P138" s="93" t="s">
        <v>59</v>
      </c>
      <c r="Q138" s="281">
        <v>12.48</v>
      </c>
      <c r="R138" s="308">
        <v>46142</v>
      </c>
      <c r="S138" s="169" t="s">
        <v>180</v>
      </c>
      <c r="T138" s="175"/>
      <c r="U138" s="37"/>
    </row>
    <row r="139" spans="16:21" ht="15.75" customHeight="1" x14ac:dyDescent="0.2">
      <c r="P139" s="93" t="s">
        <v>59</v>
      </c>
      <c r="Q139" s="281">
        <v>13.28</v>
      </c>
      <c r="R139" s="308">
        <v>46141</v>
      </c>
      <c r="S139" s="169" t="s">
        <v>180</v>
      </c>
      <c r="T139" s="175"/>
      <c r="U139" s="37"/>
    </row>
    <row r="140" spans="16:21" ht="15.75" customHeight="1" x14ac:dyDescent="0.2">
      <c r="P140" s="93" t="s">
        <v>59</v>
      </c>
      <c r="Q140" s="281">
        <v>22.2</v>
      </c>
      <c r="R140" s="308">
        <v>46142</v>
      </c>
      <c r="S140" s="169" t="s">
        <v>585</v>
      </c>
      <c r="T140" s="175"/>
      <c r="U140" s="37"/>
    </row>
    <row r="141" spans="16:21" ht="15.75" customHeight="1" x14ac:dyDescent="0.2">
      <c r="P141" s="93" t="s">
        <v>59</v>
      </c>
      <c r="Q141" s="281">
        <v>14.95</v>
      </c>
      <c r="R141" s="308">
        <v>46142</v>
      </c>
      <c r="S141" s="169" t="s">
        <v>180</v>
      </c>
      <c r="T141" s="175"/>
      <c r="U141" s="37"/>
    </row>
    <row r="142" spans="16:21" ht="15.75" customHeight="1" x14ac:dyDescent="0.2">
      <c r="P142" s="93" t="s">
        <v>58</v>
      </c>
      <c r="Q142" s="281">
        <v>5</v>
      </c>
      <c r="R142" s="308">
        <v>46142</v>
      </c>
      <c r="S142" s="169" t="s">
        <v>642</v>
      </c>
      <c r="T142" s="175"/>
      <c r="U142" s="37"/>
    </row>
    <row r="143" spans="16:21" ht="15.75" customHeight="1" x14ac:dyDescent="0.2">
      <c r="P143" s="93"/>
      <c r="Q143" s="281"/>
      <c r="R143" s="308"/>
      <c r="S143" s="169"/>
      <c r="T143" s="175"/>
      <c r="U143" s="37"/>
    </row>
    <row r="144" spans="16:21" ht="15.75" customHeight="1" x14ac:dyDescent="0.2">
      <c r="P144" s="93"/>
      <c r="Q144" s="281"/>
      <c r="R144" s="308"/>
      <c r="S144" s="169"/>
      <c r="T144" s="175"/>
      <c r="U144" s="37"/>
    </row>
    <row r="145" spans="16:21" ht="15.75" customHeight="1" x14ac:dyDescent="0.2">
      <c r="P145" s="93"/>
      <c r="Q145" s="281"/>
      <c r="R145" s="308"/>
      <c r="S145" s="169"/>
      <c r="T145" s="175"/>
      <c r="U145" s="37"/>
    </row>
    <row r="146" spans="16:21" ht="15.75" customHeight="1" x14ac:dyDescent="0.2">
      <c r="P146" s="93"/>
      <c r="Q146" s="281"/>
      <c r="R146" s="308"/>
      <c r="S146" s="169"/>
      <c r="T146" s="175"/>
      <c r="U146" s="37"/>
    </row>
    <row r="147" spans="16:21" ht="15.75" customHeight="1" x14ac:dyDescent="0.2">
      <c r="P147" s="93"/>
      <c r="Q147" s="281"/>
      <c r="R147" s="308"/>
      <c r="S147" s="169"/>
      <c r="T147" s="175"/>
      <c r="U147" s="37"/>
    </row>
  </sheetData>
  <mergeCells count="15">
    <mergeCell ref="B16:B17"/>
    <mergeCell ref="C16:C17"/>
    <mergeCell ref="V16:V20"/>
    <mergeCell ref="B2:C2"/>
    <mergeCell ref="B7:B8"/>
    <mergeCell ref="M11:N11"/>
    <mergeCell ref="B12:B13"/>
    <mergeCell ref="C12:C13"/>
    <mergeCell ref="B38:C38"/>
    <mergeCell ref="E22:G22"/>
    <mergeCell ref="K22:N23"/>
    <mergeCell ref="K24:N25"/>
    <mergeCell ref="J33:N33"/>
    <mergeCell ref="J34:N34"/>
    <mergeCell ref="J35:N35"/>
  </mergeCells>
  <conditionalFormatting sqref="F24:F33">
    <cfRule type="cellIs" dxfId="27" priority="1" operator="greaterThan">
      <formula>0</formula>
    </cfRule>
    <cfRule type="cellIs" dxfId="26" priority="2" operator="lessThan">
      <formula>0</formula>
    </cfRule>
  </conditionalFormatting>
  <conditionalFormatting sqref="G24:G33">
    <cfRule type="cellIs" dxfId="25" priority="3" operator="lessThan">
      <formula>0</formula>
    </cfRule>
    <cfRule type="cellIs" dxfId="24" priority="4" operator="greaterThan">
      <formula>0</formula>
    </cfRule>
    <cfRule type="cellIs" dxfId="23" priority="5" operator="greaterThan">
      <formula>0</formula>
    </cfRule>
  </conditionalFormatting>
  <conditionalFormatting sqref="K22">
    <cfRule type="containsText" dxfId="22" priority="7" operator="containsText" text="Gasto com Extra ok">
      <formula>NOT(ISERROR(SEARCH("Gasto com Extra ok",K22)))</formula>
    </cfRule>
    <cfRule type="containsText" dxfId="21" priority="8" operator="containsText" text="Continuem assim">
      <formula>NOT(ISERROR(SEARCH("Continuem assim",K22)))</formula>
    </cfRule>
    <cfRule type="containsText" dxfId="20" priority="11" operator="containsText" text="ATENÇÃO, JÁ GASTAMOS">
      <formula>NOT(ISERROR(SEARCH("ATENÇÃO, JÁ GASTAMOS",K22)))</formula>
    </cfRule>
    <cfRule type="containsText" dxfId="19" priority="12" operator="containsText" text="ATENÇÃO, JA GASTAMOS">
      <formula>NOT(ISERROR(SEARCH("ATENÇÃO, JA GASTAMOS",K22)))</formula>
    </cfRule>
    <cfRule type="containsText" dxfId="18" priority="13" operator="containsText" text="ATENÇÃO PARA OS GASTOS">
      <formula>NOT(ISERROR(SEARCH("ATENÇÃO PARA OS GASTOS",K22)))</formula>
    </cfRule>
    <cfRule type="cellIs" dxfId="17" priority="14" operator="lessThan">
      <formula>150</formula>
    </cfRule>
  </conditionalFormatting>
  <conditionalFormatting sqref="K24">
    <cfRule type="containsText" dxfId="16" priority="9" operator="containsText" text="Os valores estão positivos">
      <formula>NOT(ISERROR(SEARCH("Os valores estão positivos",K24)))</formula>
    </cfRule>
    <cfRule type="containsText" dxfId="15" priority="10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14" priority="6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E28A-FDAE-4225-9743-1384281AE7CA}">
  <sheetPr>
    <outlinePr summaryBelow="0" summaryRight="0"/>
  </sheetPr>
  <dimension ref="B1:T159"/>
  <sheetViews>
    <sheetView tabSelected="1" topLeftCell="K125" zoomScaleNormal="100" workbookViewId="0">
      <selection activeCell="S151" sqref="S151"/>
    </sheetView>
  </sheetViews>
  <sheetFormatPr defaultColWidth="12.5703125" defaultRowHeight="15.75" customHeight="1" x14ac:dyDescent="0.2"/>
  <cols>
    <col min="1" max="1" width="1.5703125" style="37" customWidth="1"/>
    <col min="2" max="2" width="27.85546875" style="37" customWidth="1"/>
    <col min="3" max="3" width="17.28515625" style="37" bestFit="1" customWidth="1"/>
    <col min="4" max="4" width="2.42578125" style="37" customWidth="1"/>
    <col min="5" max="5" width="22.85546875" style="37" bestFit="1" customWidth="1"/>
    <col min="6" max="6" width="23.42578125" style="37" bestFit="1" customWidth="1"/>
    <col min="7" max="7" width="18.42578125" style="37" bestFit="1" customWidth="1"/>
    <col min="8" max="8" width="2.5703125" style="37" customWidth="1"/>
    <col min="9" max="9" width="18.5703125" style="37" bestFit="1" customWidth="1"/>
    <col min="10" max="10" width="17.7109375" style="37" bestFit="1" customWidth="1"/>
    <col min="11" max="11" width="26.140625" style="37" customWidth="1"/>
    <col min="12" max="12" width="12.42578125" style="37" bestFit="1" customWidth="1"/>
    <col min="13" max="13" width="16.140625" style="37" bestFit="1" customWidth="1"/>
    <col min="14" max="14" width="28.5703125" style="37" bestFit="1" customWidth="1"/>
    <col min="15" max="15" width="2.5703125" style="37" customWidth="1"/>
    <col min="16" max="16" width="28.5703125" style="37" bestFit="1" customWidth="1"/>
    <col min="17" max="17" width="13.42578125" style="314" bestFit="1" customWidth="1"/>
    <col min="18" max="18" width="30.140625" style="37" bestFit="1" customWidth="1"/>
    <col min="19" max="19" width="51.7109375" style="37" bestFit="1" customWidth="1"/>
    <col min="20" max="20" width="12.42578125" style="37" bestFit="1" customWidth="1"/>
    <col min="21" max="21" width="13.140625" style="37" customWidth="1"/>
    <col min="22" max="22" width="17.28515625" style="37" bestFit="1" customWidth="1"/>
    <col min="23" max="23" width="22.28515625" style="37" bestFit="1" customWidth="1"/>
    <col min="24" max="25" width="12.5703125" style="37"/>
    <col min="26" max="26" width="22.28515625" style="37" bestFit="1" customWidth="1"/>
    <col min="27" max="16384" width="12.5703125" style="37"/>
  </cols>
  <sheetData>
    <row r="1" spans="2:20" ht="9" customHeight="1" x14ac:dyDescent="0.2">
      <c r="T1" s="52"/>
    </row>
    <row r="2" spans="2:20" ht="15.75" customHeight="1" x14ac:dyDescent="0.2">
      <c r="B2" s="339" t="s">
        <v>0</v>
      </c>
      <c r="C2" s="340"/>
      <c r="E2" s="98" t="s">
        <v>1</v>
      </c>
      <c r="F2" s="258" t="s">
        <v>27</v>
      </c>
      <c r="I2" s="98" t="s">
        <v>26</v>
      </c>
      <c r="J2" s="127" t="s">
        <v>27</v>
      </c>
      <c r="K2" s="131" t="s">
        <v>28</v>
      </c>
      <c r="M2" s="20" t="s">
        <v>24</v>
      </c>
      <c r="N2" s="21" t="s">
        <v>27</v>
      </c>
      <c r="P2" s="310" t="s">
        <v>60</v>
      </c>
      <c r="Q2" s="312" t="s">
        <v>27</v>
      </c>
      <c r="R2" s="234" t="s">
        <v>36</v>
      </c>
      <c r="S2" s="311" t="s">
        <v>37</v>
      </c>
      <c r="T2" s="234" t="s">
        <v>417</v>
      </c>
    </row>
    <row r="3" spans="2:20" ht="15.75" customHeight="1" x14ac:dyDescent="0.2">
      <c r="B3" s="1" t="s">
        <v>43</v>
      </c>
      <c r="C3" s="1">
        <v>1751.86</v>
      </c>
      <c r="E3" s="97" t="s">
        <v>4</v>
      </c>
      <c r="F3" s="257">
        <v>760</v>
      </c>
      <c r="I3" s="126" t="s">
        <v>3</v>
      </c>
      <c r="J3" s="125">
        <v>64.900000000000006</v>
      </c>
      <c r="K3" s="129">
        <v>46305</v>
      </c>
      <c r="M3" s="25" t="s">
        <v>2</v>
      </c>
      <c r="N3" s="26">
        <v>21</v>
      </c>
      <c r="P3" s="316" t="s">
        <v>23</v>
      </c>
      <c r="Q3" s="317">
        <v>13.98</v>
      </c>
      <c r="R3" s="323">
        <v>46143</v>
      </c>
      <c r="S3" s="316" t="s">
        <v>221</v>
      </c>
      <c r="T3" s="316"/>
    </row>
    <row r="4" spans="2:20" ht="15.75" customHeight="1" x14ac:dyDescent="0.2">
      <c r="B4" s="1" t="s">
        <v>44</v>
      </c>
      <c r="C4" s="1">
        <v>1812</v>
      </c>
      <c r="E4" s="97" t="s">
        <v>39</v>
      </c>
      <c r="F4" s="257" t="s">
        <v>39</v>
      </c>
      <c r="G4" s="75"/>
      <c r="I4" s="126" t="s">
        <v>5</v>
      </c>
      <c r="J4" s="125">
        <v>147</v>
      </c>
      <c r="K4" s="129">
        <v>46368</v>
      </c>
      <c r="M4" s="25" t="s">
        <v>3</v>
      </c>
      <c r="N4" s="26">
        <v>24.9</v>
      </c>
      <c r="P4" s="316" t="s">
        <v>33</v>
      </c>
      <c r="Q4" s="317">
        <v>50</v>
      </c>
      <c r="R4" s="323">
        <v>46143</v>
      </c>
      <c r="S4" s="316" t="s">
        <v>645</v>
      </c>
      <c r="T4" s="316"/>
    </row>
    <row r="5" spans="2:20" ht="15.75" customHeight="1" x14ac:dyDescent="0.2">
      <c r="B5" s="1" t="s">
        <v>56</v>
      </c>
      <c r="C5" s="1">
        <v>1000</v>
      </c>
      <c r="E5" s="97" t="s">
        <v>9</v>
      </c>
      <c r="F5" s="257">
        <v>295</v>
      </c>
      <c r="G5" s="75"/>
      <c r="I5" s="126" t="s">
        <v>14</v>
      </c>
      <c r="J5" s="125">
        <v>128</v>
      </c>
      <c r="K5" s="129">
        <v>46299</v>
      </c>
      <c r="M5" s="25" t="s">
        <v>7</v>
      </c>
      <c r="N5" s="26">
        <v>11.8</v>
      </c>
      <c r="P5" s="316" t="s">
        <v>35</v>
      </c>
      <c r="Q5" s="317">
        <v>52.83</v>
      </c>
      <c r="R5" s="323">
        <v>46143</v>
      </c>
      <c r="S5" s="316" t="s">
        <v>646</v>
      </c>
      <c r="T5" s="316"/>
    </row>
    <row r="6" spans="2:20" ht="15.75" customHeight="1" x14ac:dyDescent="0.2">
      <c r="B6" s="1" t="s">
        <v>516</v>
      </c>
      <c r="C6" s="1">
        <v>1680</v>
      </c>
      <c r="E6" s="97" t="s">
        <v>12</v>
      </c>
      <c r="F6" s="257">
        <v>97</v>
      </c>
      <c r="G6" s="75"/>
      <c r="I6" s="126" t="s">
        <v>226</v>
      </c>
      <c r="J6" s="125">
        <v>179.58</v>
      </c>
      <c r="K6" s="130">
        <v>46363</v>
      </c>
      <c r="M6" s="25" t="s">
        <v>10</v>
      </c>
      <c r="N6" s="26">
        <v>19.899999999999999</v>
      </c>
      <c r="P6" s="316" t="s">
        <v>270</v>
      </c>
      <c r="Q6" s="317">
        <f>8.99+29.9+8.99+2.59+12.35</f>
        <v>62.82</v>
      </c>
      <c r="R6" s="323">
        <v>46143</v>
      </c>
      <c r="S6" s="316" t="s">
        <v>648</v>
      </c>
      <c r="T6" s="316"/>
    </row>
    <row r="7" spans="2:20" ht="15.75" customHeight="1" x14ac:dyDescent="0.2">
      <c r="B7" s="343" t="s">
        <v>15</v>
      </c>
      <c r="C7" s="41">
        <v>445</v>
      </c>
      <c r="E7" s="97" t="s">
        <v>16</v>
      </c>
      <c r="F7" s="257">
        <v>200</v>
      </c>
      <c r="G7" s="75"/>
      <c r="I7" s="126" t="s">
        <v>233</v>
      </c>
      <c r="J7" s="125">
        <v>96</v>
      </c>
      <c r="K7" s="129" t="s">
        <v>234</v>
      </c>
      <c r="M7" s="25" t="s">
        <v>13</v>
      </c>
      <c r="N7" s="26">
        <v>19.899999999999999</v>
      </c>
      <c r="P7" s="316" t="s">
        <v>23</v>
      </c>
      <c r="Q7" s="317">
        <f>466.71-62.82</f>
        <v>403.89</v>
      </c>
      <c r="R7" s="323">
        <v>46143</v>
      </c>
      <c r="S7" s="316" t="s">
        <v>581</v>
      </c>
      <c r="T7" s="316"/>
    </row>
    <row r="8" spans="2:20" ht="15.75" customHeight="1" x14ac:dyDescent="0.2">
      <c r="B8" s="344"/>
      <c r="C8" s="41">
        <v>409</v>
      </c>
      <c r="E8" s="97" t="s">
        <v>459</v>
      </c>
      <c r="F8" s="257">
        <f>N9</f>
        <v>104.5</v>
      </c>
      <c r="I8" s="126" t="s">
        <v>39</v>
      </c>
      <c r="J8" s="125" t="s">
        <v>39</v>
      </c>
      <c r="K8" s="129" t="s">
        <v>39</v>
      </c>
      <c r="M8" s="25" t="s">
        <v>17</v>
      </c>
      <c r="N8" s="26">
        <v>7</v>
      </c>
      <c r="P8" s="316" t="s">
        <v>35</v>
      </c>
      <c r="Q8" s="317">
        <v>7.94</v>
      </c>
      <c r="R8" s="323">
        <v>46144</v>
      </c>
      <c r="S8" s="316" t="s">
        <v>52</v>
      </c>
      <c r="T8" s="316"/>
    </row>
    <row r="9" spans="2:20" ht="15.75" customHeight="1" x14ac:dyDescent="0.2">
      <c r="B9" s="300"/>
      <c r="C9" s="301"/>
      <c r="E9" s="132" t="s">
        <v>20</v>
      </c>
      <c r="F9" s="133">
        <f>SUM(F3:F8)</f>
        <v>1456.5</v>
      </c>
      <c r="I9" s="126" t="s">
        <v>517</v>
      </c>
      <c r="J9" s="125">
        <v>62</v>
      </c>
      <c r="K9" s="129" t="s">
        <v>39</v>
      </c>
      <c r="M9" s="31" t="s">
        <v>20</v>
      </c>
      <c r="N9" s="32">
        <f>SUM(N3:N8)</f>
        <v>104.5</v>
      </c>
      <c r="P9" s="316" t="s">
        <v>35</v>
      </c>
      <c r="Q9" s="317">
        <v>8.94</v>
      </c>
      <c r="R9" s="323">
        <v>46144</v>
      </c>
      <c r="S9" s="316" t="s">
        <v>647</v>
      </c>
      <c r="T9" s="316"/>
    </row>
    <row r="10" spans="2:20" ht="15.75" customHeight="1" x14ac:dyDescent="0.2">
      <c r="B10" s="300"/>
      <c r="C10" s="172">
        <v>0</v>
      </c>
      <c r="I10" s="126" t="s">
        <v>520</v>
      </c>
      <c r="J10" s="125">
        <v>7.95</v>
      </c>
      <c r="K10" s="129" t="s">
        <v>39</v>
      </c>
      <c r="P10" s="316" t="s">
        <v>58</v>
      </c>
      <c r="Q10" s="317">
        <v>16.989999999999998</v>
      </c>
      <c r="R10" s="323">
        <v>46145</v>
      </c>
      <c r="S10" s="316" t="s">
        <v>659</v>
      </c>
      <c r="T10" s="316"/>
    </row>
    <row r="11" spans="2:20" ht="16.5" x14ac:dyDescent="0.2">
      <c r="B11" s="300"/>
      <c r="C11" s="301"/>
      <c r="I11" s="132" t="s">
        <v>20</v>
      </c>
      <c r="J11" s="133">
        <f>SUM(J3:J10)</f>
        <v>685.43000000000006</v>
      </c>
      <c r="K11" s="132" t="s">
        <v>39</v>
      </c>
      <c r="M11" s="341" t="s">
        <v>40</v>
      </c>
      <c r="N11" s="342"/>
      <c r="P11" s="247" t="s">
        <v>19</v>
      </c>
      <c r="Q11" s="324">
        <v>12.9</v>
      </c>
      <c r="R11" s="325">
        <v>46145</v>
      </c>
      <c r="S11" s="247" t="s">
        <v>649</v>
      </c>
      <c r="T11" s="247" t="s">
        <v>418</v>
      </c>
    </row>
    <row r="12" spans="2:20" ht="16.5" x14ac:dyDescent="0.2">
      <c r="B12" s="346" t="s">
        <v>20</v>
      </c>
      <c r="C12" s="347">
        <f>SUM(C3:C9)</f>
        <v>7097.86</v>
      </c>
      <c r="I12" s="70"/>
      <c r="M12" s="27" t="s">
        <v>41</v>
      </c>
      <c r="N12" s="38"/>
      <c r="P12" s="247" t="s">
        <v>33</v>
      </c>
      <c r="Q12" s="324">
        <v>168</v>
      </c>
      <c r="R12" s="325">
        <v>46145</v>
      </c>
      <c r="S12" s="247" t="s">
        <v>650</v>
      </c>
      <c r="T12" s="247" t="s">
        <v>418</v>
      </c>
    </row>
    <row r="13" spans="2:20" ht="16.5" x14ac:dyDescent="0.2">
      <c r="B13" s="344"/>
      <c r="C13" s="348"/>
      <c r="F13" s="70"/>
      <c r="J13" s="173"/>
      <c r="M13" s="28" t="s">
        <v>42</v>
      </c>
      <c r="N13" s="39"/>
      <c r="P13" s="247" t="s">
        <v>34</v>
      </c>
      <c r="Q13" s="324">
        <v>158.1</v>
      </c>
      <c r="R13" s="325">
        <v>46145</v>
      </c>
      <c r="S13" s="247" t="s">
        <v>651</v>
      </c>
      <c r="T13" s="247" t="s">
        <v>418</v>
      </c>
    </row>
    <row r="14" spans="2:20" ht="16.5" x14ac:dyDescent="0.2">
      <c r="F14" s="70"/>
      <c r="G14" s="318"/>
      <c r="I14" s="173"/>
      <c r="J14" s="70"/>
      <c r="M14" s="29" t="s">
        <v>64</v>
      </c>
      <c r="N14" s="40"/>
      <c r="P14" s="316" t="s">
        <v>23</v>
      </c>
      <c r="Q14" s="317">
        <v>91.25</v>
      </c>
      <c r="R14" s="323">
        <v>46145</v>
      </c>
      <c r="S14" s="316" t="s">
        <v>652</v>
      </c>
      <c r="T14" s="316"/>
    </row>
    <row r="15" spans="2:20" ht="12.75" x14ac:dyDescent="0.2">
      <c r="B15" s="43"/>
      <c r="C15" s="43"/>
      <c r="D15" s="43"/>
      <c r="E15" s="44"/>
      <c r="F15" s="70"/>
      <c r="G15" s="173"/>
      <c r="P15" s="316" t="s">
        <v>23</v>
      </c>
      <c r="Q15" s="317">
        <v>14.58</v>
      </c>
      <c r="R15" s="323">
        <v>46145</v>
      </c>
      <c r="S15" s="316" t="s">
        <v>653</v>
      </c>
      <c r="T15" s="316"/>
    </row>
    <row r="16" spans="2:20" ht="12.75" x14ac:dyDescent="0.2">
      <c r="B16" s="335" t="s">
        <v>239</v>
      </c>
      <c r="C16" s="337">
        <f>C12-J11-F9</f>
        <v>4955.9299999999994</v>
      </c>
      <c r="D16" s="43"/>
      <c r="E16" s="70"/>
      <c r="F16" s="72"/>
      <c r="G16" s="72"/>
      <c r="H16" s="44"/>
      <c r="I16" s="70"/>
      <c r="P16" s="316" t="s">
        <v>33</v>
      </c>
      <c r="Q16" s="317">
        <v>45.8</v>
      </c>
      <c r="R16" s="323">
        <v>46145</v>
      </c>
      <c r="S16" s="316" t="s">
        <v>663</v>
      </c>
      <c r="T16" s="316"/>
    </row>
    <row r="17" spans="2:20" ht="12.75" x14ac:dyDescent="0.2">
      <c r="B17" s="336"/>
      <c r="C17" s="336"/>
      <c r="D17" s="43"/>
      <c r="F17" s="70"/>
      <c r="G17" s="72"/>
      <c r="H17" s="44"/>
      <c r="K17" s="173"/>
      <c r="P17" s="316" t="s">
        <v>58</v>
      </c>
      <c r="Q17" s="317">
        <v>59.7</v>
      </c>
      <c r="R17" s="323">
        <v>46145</v>
      </c>
      <c r="S17" s="316" t="s">
        <v>667</v>
      </c>
      <c r="T17" s="316"/>
    </row>
    <row r="18" spans="2:20" ht="12.75" customHeight="1" x14ac:dyDescent="0.2">
      <c r="B18" s="43"/>
      <c r="C18" s="43"/>
      <c r="D18" s="43"/>
      <c r="F18" s="70"/>
      <c r="I18" s="52"/>
      <c r="J18" s="52"/>
      <c r="K18" s="52"/>
      <c r="P18" s="316" t="s">
        <v>270</v>
      </c>
      <c r="Q18" s="317">
        <v>16.989999999999998</v>
      </c>
      <c r="R18" s="323">
        <v>46145</v>
      </c>
      <c r="S18" s="316" t="s">
        <v>659</v>
      </c>
      <c r="T18" s="316"/>
    </row>
    <row r="19" spans="2:20" ht="12.75" x14ac:dyDescent="0.2">
      <c r="J19" s="70"/>
      <c r="P19" s="247" t="s">
        <v>270</v>
      </c>
      <c r="Q19" s="324">
        <v>15</v>
      </c>
      <c r="R19" s="325">
        <v>46145</v>
      </c>
      <c r="S19" s="247" t="s">
        <v>671</v>
      </c>
      <c r="T19" s="247" t="s">
        <v>418</v>
      </c>
    </row>
    <row r="20" spans="2:20" ht="12.75" x14ac:dyDescent="0.2">
      <c r="P20" s="247" t="s">
        <v>33</v>
      </c>
      <c r="Q20" s="324">
        <v>51.9</v>
      </c>
      <c r="R20" s="325">
        <v>46145</v>
      </c>
      <c r="S20" s="247" t="s">
        <v>283</v>
      </c>
      <c r="T20" s="247" t="s">
        <v>418</v>
      </c>
    </row>
    <row r="21" spans="2:20" ht="12.75" x14ac:dyDescent="0.2">
      <c r="D21" s="43"/>
      <c r="E21" s="43"/>
      <c r="F21" s="43"/>
      <c r="G21" s="43"/>
      <c r="H21" s="43"/>
      <c r="I21" s="53" t="s">
        <v>38</v>
      </c>
      <c r="J21" s="78" t="s">
        <v>27</v>
      </c>
      <c r="P21" s="247" t="s">
        <v>658</v>
      </c>
      <c r="Q21" s="324">
        <v>194.97</v>
      </c>
      <c r="R21" s="325">
        <v>46145</v>
      </c>
      <c r="S21" s="247" t="s">
        <v>211</v>
      </c>
      <c r="T21" s="247" t="s">
        <v>418</v>
      </c>
    </row>
    <row r="22" spans="2:20" ht="15.75" customHeight="1" x14ac:dyDescent="0.2">
      <c r="B22" s="16" t="s">
        <v>62</v>
      </c>
      <c r="C22" s="45" t="s">
        <v>27</v>
      </c>
      <c r="D22" s="43"/>
      <c r="E22" s="338" t="s">
        <v>30</v>
      </c>
      <c r="F22" s="338"/>
      <c r="G22" s="338"/>
      <c r="H22" s="43"/>
      <c r="I22" s="6" t="s">
        <v>32</v>
      </c>
      <c r="J22" s="79">
        <f>SUMIFS(Q3:Q159,P3:P159,"Casa")</f>
        <v>196.84</v>
      </c>
      <c r="K22" s="345" t="str">
        <f>IF(J28&gt;=200,"ATENÇÃO AO GASTO EXTRA R$ " &amp; SUM(J28), "GASTO COM EXTRA OK !")</f>
        <v>ATENÇÃO AO GASTO EXTRA R$ 2155,5</v>
      </c>
      <c r="L22" s="345"/>
      <c r="M22" s="345"/>
      <c r="N22" s="345"/>
      <c r="P22" s="247" t="s">
        <v>35</v>
      </c>
      <c r="Q22" s="324">
        <v>5</v>
      </c>
      <c r="R22" s="325">
        <v>46145</v>
      </c>
      <c r="S22" s="247" t="s">
        <v>672</v>
      </c>
      <c r="T22" s="247" t="s">
        <v>418</v>
      </c>
    </row>
    <row r="23" spans="2:20" ht="15.75" customHeight="1" x14ac:dyDescent="0.2">
      <c r="B23" s="3" t="s">
        <v>31</v>
      </c>
      <c r="C23" s="46">
        <v>0</v>
      </c>
      <c r="D23" s="43"/>
      <c r="E23" s="62" t="s">
        <v>29</v>
      </c>
      <c r="F23" s="63" t="s">
        <v>27</v>
      </c>
      <c r="G23" s="67" t="s">
        <v>65</v>
      </c>
      <c r="H23" s="43"/>
      <c r="I23" s="6" t="s">
        <v>33</v>
      </c>
      <c r="J23" s="79">
        <f>SUMIFS(Q3:Q159,P3:P159,"Lazer")</f>
        <v>1025.8699999999999</v>
      </c>
      <c r="K23" s="345"/>
      <c r="L23" s="345"/>
      <c r="M23" s="345"/>
      <c r="N23" s="345"/>
      <c r="P23" s="247" t="s">
        <v>658</v>
      </c>
      <c r="Q23" s="324">
        <v>140</v>
      </c>
      <c r="R23" s="325">
        <v>46145</v>
      </c>
      <c r="S23" s="247" t="s">
        <v>673</v>
      </c>
      <c r="T23" s="247" t="s">
        <v>418</v>
      </c>
    </row>
    <row r="24" spans="2:20" ht="15.75" customHeight="1" x14ac:dyDescent="0.2">
      <c r="B24" s="3" t="s">
        <v>32</v>
      </c>
      <c r="C24" s="46">
        <v>200</v>
      </c>
      <c r="D24" s="43"/>
      <c r="E24" s="54" t="s">
        <v>31</v>
      </c>
      <c r="F24" s="55">
        <v>0</v>
      </c>
      <c r="G24" s="134">
        <v>0</v>
      </c>
      <c r="H24" s="43"/>
      <c r="I24" s="6" t="s">
        <v>34</v>
      </c>
      <c r="J24" s="79">
        <f>SUMIFS(Q3:Q159,P3:P159,"Roupas")</f>
        <v>831.93000000000006</v>
      </c>
      <c r="K24" s="334" t="str">
        <f>IF(AND(F25&gt;0,F26&gt;0,F27&gt;0,F28&gt;0,F29&gt;0,F30&gt;0,F31&gt;0,F32&gt;0,F33&gt;0), "Os valores estão positivos !","Atentar aos valores negativos na tabela !")</f>
        <v>Atentar aos valores negativos na tabela !</v>
      </c>
      <c r="L24" s="334"/>
      <c r="M24" s="334"/>
      <c r="N24" s="334"/>
      <c r="P24" s="247" t="s">
        <v>19</v>
      </c>
      <c r="Q24" s="324">
        <v>12.9</v>
      </c>
      <c r="R24" s="325">
        <v>46145</v>
      </c>
      <c r="S24" s="247" t="s">
        <v>649</v>
      </c>
      <c r="T24" s="247" t="s">
        <v>418</v>
      </c>
    </row>
    <row r="25" spans="2:20" ht="15.75" customHeight="1" x14ac:dyDescent="0.2">
      <c r="B25" s="3" t="s">
        <v>33</v>
      </c>
      <c r="C25" s="46">
        <v>700</v>
      </c>
      <c r="D25" s="43"/>
      <c r="E25" s="54" t="s">
        <v>32</v>
      </c>
      <c r="F25" s="55">
        <f>C24-J22</f>
        <v>3.1599999999999966</v>
      </c>
      <c r="G25" s="134">
        <f>SUM(Tabela61516612182532394653466067[[#This Row],[Valores]]+Tabela615166121825323946534660[[#This Row],[Acumulado]])</f>
        <v>400.86999999999989</v>
      </c>
      <c r="H25" s="43"/>
      <c r="I25" s="6" t="s">
        <v>19</v>
      </c>
      <c r="J25" s="79">
        <f>SUMIFS(Q3:Q159,P3:P159,"Nesco")</f>
        <v>46.3</v>
      </c>
      <c r="K25" s="334"/>
      <c r="L25" s="334"/>
      <c r="M25" s="334"/>
      <c r="N25" s="334"/>
      <c r="P25" s="316" t="s">
        <v>35</v>
      </c>
      <c r="Q25" s="317">
        <v>14.94</v>
      </c>
      <c r="R25" s="323">
        <v>46146</v>
      </c>
      <c r="S25" s="316" t="s">
        <v>209</v>
      </c>
      <c r="T25" s="316"/>
    </row>
    <row r="26" spans="2:20" ht="15.75" customHeight="1" x14ac:dyDescent="0.2">
      <c r="B26" s="3" t="s">
        <v>34</v>
      </c>
      <c r="C26" s="46">
        <v>200</v>
      </c>
      <c r="D26" s="43"/>
      <c r="E26" s="54" t="s">
        <v>33</v>
      </c>
      <c r="F26" s="55">
        <f>C25-J23</f>
        <v>-325.86999999999989</v>
      </c>
      <c r="G26" s="134">
        <f>SUM(Tabela61516612182532394653466067[[#This Row],[Valores]]+Tabela615166121825323946534660[[#This Row],[Acumulado]])</f>
        <v>-498.60666666666668</v>
      </c>
      <c r="H26" s="43"/>
      <c r="I26" s="6" t="s">
        <v>21</v>
      </c>
      <c r="J26" s="79">
        <f>SUMIFS(Q3:Q159,P3:P159,"Gasolina / Óleo")</f>
        <v>237.81</v>
      </c>
      <c r="P26" s="316" t="s">
        <v>35</v>
      </c>
      <c r="Q26" s="317">
        <v>7.95</v>
      </c>
      <c r="R26" s="323">
        <v>46146</v>
      </c>
      <c r="S26" s="316" t="s">
        <v>209</v>
      </c>
      <c r="T26" s="316"/>
    </row>
    <row r="27" spans="2:20" ht="15.75" customHeight="1" x14ac:dyDescent="0.2">
      <c r="B27" s="13" t="s">
        <v>35</v>
      </c>
      <c r="C27" s="46">
        <f>C16-SUM(C23:C26)-SUM(C28:C32)</f>
        <v>2195.9299999999994</v>
      </c>
      <c r="D27" s="43"/>
      <c r="E27" s="54" t="s">
        <v>34</v>
      </c>
      <c r="F27" s="55">
        <f>C26-J24</f>
        <v>-631.93000000000006</v>
      </c>
      <c r="G27" s="134">
        <f>SUM(Tabela61516612182532394653466067[[#This Row],[Valores]]+Tabela615166121825323946534660[[#This Row],[Acumulado]])</f>
        <v>7.2799999999999727</v>
      </c>
      <c r="H27" s="43"/>
      <c r="I27" s="6" t="s">
        <v>50</v>
      </c>
      <c r="J27" s="79">
        <f>SUMIFS(Q3:Q159,P3:P159,"Compras do Mês")</f>
        <v>654.34000000000015</v>
      </c>
      <c r="P27" s="316" t="s">
        <v>59</v>
      </c>
      <c r="Q27" s="317">
        <v>22</v>
      </c>
      <c r="R27" s="323">
        <v>46146</v>
      </c>
      <c r="S27" s="316" t="s">
        <v>660</v>
      </c>
      <c r="T27" s="316"/>
    </row>
    <row r="28" spans="2:20" ht="15.75" customHeight="1" x14ac:dyDescent="0.2">
      <c r="B28" s="12" t="s">
        <v>19</v>
      </c>
      <c r="C28" s="48">
        <v>60</v>
      </c>
      <c r="D28" s="43"/>
      <c r="E28" s="56" t="s">
        <v>59</v>
      </c>
      <c r="F28" s="57">
        <f>C31-J29</f>
        <v>-85.910000000000025</v>
      </c>
      <c r="G28" s="134">
        <f>SUM(Tabela61516612182532394653466067[[#This Row],[Valores]]+Tabela615166121825323946534660[[#This Row],[Acumulado]])</f>
        <v>-175.10999999999996</v>
      </c>
      <c r="H28" s="43"/>
      <c r="I28" s="6" t="s">
        <v>35</v>
      </c>
      <c r="J28" s="79">
        <f>SUMIFS(Q3:Q159,P3:P159,"Extras")</f>
        <v>2155.5000000000005</v>
      </c>
      <c r="P28" s="316" t="s">
        <v>59</v>
      </c>
      <c r="Q28" s="317">
        <v>27.61</v>
      </c>
      <c r="R28" s="323">
        <v>46146</v>
      </c>
      <c r="S28" s="316" t="s">
        <v>662</v>
      </c>
      <c r="T28" s="316"/>
    </row>
    <row r="29" spans="2:20" ht="15.75" customHeight="1" x14ac:dyDescent="0.2">
      <c r="B29" s="12" t="s">
        <v>21</v>
      </c>
      <c r="C29" s="48">
        <v>200</v>
      </c>
      <c r="D29" s="43"/>
      <c r="E29" s="56" t="s">
        <v>58</v>
      </c>
      <c r="F29" s="57">
        <f>C32-J30</f>
        <v>38.45999999999998</v>
      </c>
      <c r="G29" s="134">
        <f>SUM(Tabela61516612182532394653466067[[#This Row],[Valores]]+Tabela615166121825323946534660[[#This Row],[Acumulado]])</f>
        <v>103.70500000000001</v>
      </c>
      <c r="H29" s="43"/>
      <c r="I29" s="6" t="s">
        <v>59</v>
      </c>
      <c r="J29" s="81">
        <f>SUMIFS(Q3:Q159,P3:P159,"Bobeirinhas V")</f>
        <v>385.91</v>
      </c>
      <c r="P29" s="316" t="s">
        <v>19</v>
      </c>
      <c r="Q29" s="317">
        <v>20.5</v>
      </c>
      <c r="R29" s="323">
        <v>46146</v>
      </c>
      <c r="S29" s="316" t="s">
        <v>649</v>
      </c>
      <c r="T29" s="316"/>
    </row>
    <row r="30" spans="2:20" ht="15.75" customHeight="1" x14ac:dyDescent="0.2">
      <c r="B30" s="13" t="s">
        <v>50</v>
      </c>
      <c r="C30" s="47">
        <f>800</f>
        <v>800</v>
      </c>
      <c r="D30" s="43"/>
      <c r="E30" s="58" t="s">
        <v>35</v>
      </c>
      <c r="F30" s="59">
        <f>C27-J28</f>
        <v>40.429999999998927</v>
      </c>
      <c r="G30" s="134">
        <f>SUM(Tabela61516612182532394653466067[[#This Row],[Valores]]+Tabela615166121825323946534660[[#This Row],[Acumulado]])</f>
        <v>3.0699999999966394</v>
      </c>
      <c r="H30" s="43"/>
      <c r="I30" s="9" t="s">
        <v>58</v>
      </c>
      <c r="J30" s="80">
        <f>SUMIFS(Q3:Q159,P3:P159,"Bobeirinhas J")</f>
        <v>261.54000000000002</v>
      </c>
      <c r="L30" s="70"/>
      <c r="P30" s="316" t="s">
        <v>35</v>
      </c>
      <c r="Q30" s="317">
        <v>7.94</v>
      </c>
      <c r="R30" s="323">
        <v>46147</v>
      </c>
      <c r="S30" s="316" t="s">
        <v>209</v>
      </c>
      <c r="T30" s="316"/>
    </row>
    <row r="31" spans="2:20" ht="15.75" customHeight="1" x14ac:dyDescent="0.2">
      <c r="B31" s="14" t="s">
        <v>59</v>
      </c>
      <c r="C31" s="47">
        <v>300</v>
      </c>
      <c r="D31" s="43"/>
      <c r="E31" s="60" t="s">
        <v>19</v>
      </c>
      <c r="F31" s="121">
        <f>C28-J25</f>
        <v>13.700000000000003</v>
      </c>
      <c r="G31" s="134">
        <f>SUM(Tabela61516612182532394653466067[[#This Row],[Valores]]+Tabela615166121825323946534660[[#This Row],[Acumulado]])</f>
        <v>-24.139999999999986</v>
      </c>
      <c r="H31" s="43"/>
      <c r="J31" s="173"/>
      <c r="N31" s="173"/>
      <c r="P31" s="316" t="s">
        <v>59</v>
      </c>
      <c r="Q31" s="317">
        <v>4</v>
      </c>
      <c r="R31" s="323">
        <v>46147</v>
      </c>
      <c r="S31" s="316" t="s">
        <v>180</v>
      </c>
      <c r="T31" s="316"/>
    </row>
    <row r="32" spans="2:20" ht="16.5" customHeight="1" x14ac:dyDescent="0.2">
      <c r="B32" s="15" t="s">
        <v>58</v>
      </c>
      <c r="C32" s="49">
        <v>300</v>
      </c>
      <c r="D32" s="43"/>
      <c r="E32" s="60" t="s">
        <v>21</v>
      </c>
      <c r="F32" s="61">
        <f>C29-J26</f>
        <v>-37.81</v>
      </c>
      <c r="G32" s="134">
        <f>SUM(Tabela61516612182532394653466067[[#This Row],[Valores]]+Tabela615166121825323946534660[[#This Row],[Acumulado]])</f>
        <v>15.809999999999974</v>
      </c>
      <c r="H32" s="43"/>
      <c r="P32" s="316" t="s">
        <v>34</v>
      </c>
      <c r="Q32" s="317">
        <v>138.88</v>
      </c>
      <c r="R32" s="323">
        <v>46147</v>
      </c>
      <c r="S32" s="316" t="s">
        <v>655</v>
      </c>
      <c r="T32" s="316"/>
    </row>
    <row r="33" spans="2:20" ht="15.75" customHeight="1" x14ac:dyDescent="0.2">
      <c r="B33" s="73"/>
      <c r="C33" s="74"/>
      <c r="D33" s="43"/>
      <c r="E33" s="58" t="s">
        <v>50</v>
      </c>
      <c r="F33" s="61">
        <f>C30-J27</f>
        <v>145.65999999999985</v>
      </c>
      <c r="G33" s="134">
        <f>SUM(Tabela61516612182532394653466067[[#This Row],[Valores]]+Tabela615166121825323946534660[[#This Row],[Acumulado]])</f>
        <v>-53.790000000000191</v>
      </c>
      <c r="H33" s="43"/>
      <c r="J33" s="359" t="s">
        <v>462</v>
      </c>
      <c r="K33" s="359"/>
      <c r="L33" s="359"/>
      <c r="M33" s="359"/>
      <c r="N33" s="359"/>
      <c r="P33" s="316" t="s">
        <v>35</v>
      </c>
      <c r="Q33" s="317">
        <v>7.96</v>
      </c>
      <c r="R33" s="323">
        <v>46147</v>
      </c>
      <c r="S33" s="316" t="s">
        <v>209</v>
      </c>
      <c r="T33" s="316"/>
    </row>
    <row r="34" spans="2:20" ht="15.75" customHeight="1" x14ac:dyDescent="0.2">
      <c r="B34" s="44"/>
      <c r="C34" s="72"/>
      <c r="D34" s="43"/>
      <c r="E34" s="43"/>
      <c r="F34" s="43"/>
      <c r="G34" s="141"/>
      <c r="H34" s="43"/>
      <c r="I34" s="319"/>
      <c r="J34" s="356" t="s">
        <v>460</v>
      </c>
      <c r="K34" s="356"/>
      <c r="L34" s="356"/>
      <c r="M34" s="356"/>
      <c r="N34" s="356"/>
      <c r="P34" s="316" t="s">
        <v>658</v>
      </c>
      <c r="Q34" s="317">
        <v>139.99</v>
      </c>
      <c r="R34" s="323">
        <v>46147</v>
      </c>
      <c r="S34" s="316" t="s">
        <v>654</v>
      </c>
      <c r="T34" s="316"/>
    </row>
    <row r="35" spans="2:20" ht="15.75" customHeight="1" x14ac:dyDescent="0.2">
      <c r="E35" s="76" t="s">
        <v>79</v>
      </c>
      <c r="F35" s="77">
        <f>SUM(F25:F33)</f>
        <v>-840.11000000000104</v>
      </c>
      <c r="G35" s="70"/>
      <c r="J35" s="356" t="s">
        <v>461</v>
      </c>
      <c r="K35" s="356"/>
      <c r="L35" s="356"/>
      <c r="M35" s="356"/>
      <c r="N35" s="356"/>
      <c r="P35" s="316" t="s">
        <v>658</v>
      </c>
      <c r="Q35" s="317">
        <v>59.99</v>
      </c>
      <c r="R35" s="323">
        <v>46147</v>
      </c>
      <c r="S35" s="316" t="s">
        <v>656</v>
      </c>
      <c r="T35" s="316"/>
    </row>
    <row r="36" spans="2:20" ht="15.75" customHeight="1" x14ac:dyDescent="0.2">
      <c r="C36" s="70"/>
      <c r="F36" s="70"/>
      <c r="P36" s="316" t="s">
        <v>59</v>
      </c>
      <c r="Q36" s="317">
        <f>109.98-59.99</f>
        <v>49.99</v>
      </c>
      <c r="R36" s="323">
        <v>46147</v>
      </c>
      <c r="S36" s="316" t="s">
        <v>657</v>
      </c>
      <c r="T36" s="316"/>
    </row>
    <row r="37" spans="2:20" ht="12.75" customHeight="1" x14ac:dyDescent="0.2">
      <c r="F37" s="70"/>
      <c r="P37" s="316" t="s">
        <v>35</v>
      </c>
      <c r="Q37" s="317">
        <v>6.96</v>
      </c>
      <c r="R37" s="323">
        <v>46148</v>
      </c>
      <c r="S37" s="316" t="s">
        <v>209</v>
      </c>
      <c r="T37" s="316"/>
    </row>
    <row r="38" spans="2:20" ht="13.5" customHeight="1" x14ac:dyDescent="0.2">
      <c r="B38" s="357" t="s">
        <v>416</v>
      </c>
      <c r="C38" s="358"/>
      <c r="G38" s="70"/>
      <c r="P38" s="316" t="s">
        <v>35</v>
      </c>
      <c r="Q38" s="317">
        <v>7.93</v>
      </c>
      <c r="R38" s="323">
        <v>46148</v>
      </c>
      <c r="S38" s="316" t="s">
        <v>209</v>
      </c>
      <c r="T38" s="316"/>
    </row>
    <row r="39" spans="2:20" ht="15.75" customHeight="1" x14ac:dyDescent="0.2">
      <c r="B39" s="320" t="s">
        <v>419</v>
      </c>
      <c r="C39" s="324">
        <f>SUMIFS(Q3:Q159,Tabela171114192633404754476168[Método],"LATAM")</f>
        <v>2779.1299999999992</v>
      </c>
      <c r="F39" s="70"/>
      <c r="I39" s="70"/>
      <c r="P39" s="316" t="s">
        <v>35</v>
      </c>
      <c r="Q39" s="317">
        <v>15.94</v>
      </c>
      <c r="R39" s="323">
        <v>46149</v>
      </c>
      <c r="S39" s="316" t="s">
        <v>209</v>
      </c>
      <c r="T39" s="316"/>
    </row>
    <row r="40" spans="2:20" ht="15.75" customHeight="1" x14ac:dyDescent="0.2">
      <c r="C40" s="70"/>
      <c r="P40" s="316" t="s">
        <v>35</v>
      </c>
      <c r="Q40" s="317">
        <v>12.99</v>
      </c>
      <c r="R40" s="323">
        <v>46149</v>
      </c>
      <c r="S40" s="316" t="s">
        <v>209</v>
      </c>
      <c r="T40" s="316"/>
    </row>
    <row r="41" spans="2:20" ht="15.75" customHeight="1" x14ac:dyDescent="0.2">
      <c r="I41" s="70"/>
      <c r="J41" s="331" t="s">
        <v>53</v>
      </c>
      <c r="K41" s="329" t="s">
        <v>702</v>
      </c>
      <c r="L41" s="328" t="s">
        <v>703</v>
      </c>
      <c r="P41" s="316" t="s">
        <v>35</v>
      </c>
      <c r="Q41" s="317">
        <v>9.98</v>
      </c>
      <c r="R41" s="323">
        <v>46149</v>
      </c>
      <c r="S41" s="316" t="s">
        <v>209</v>
      </c>
      <c r="T41" s="316"/>
    </row>
    <row r="42" spans="2:20" ht="15.75" customHeight="1" x14ac:dyDescent="0.2">
      <c r="J42" s="332">
        <v>7746</v>
      </c>
      <c r="K42" s="330">
        <f>SUMIFS(Q3:Q159,P3:P159,"PLR")</f>
        <v>639.41</v>
      </c>
      <c r="L42" s="333">
        <f>SUM(J42-K42)</f>
        <v>7106.59</v>
      </c>
      <c r="P42" s="247" t="s">
        <v>58</v>
      </c>
      <c r="Q42" s="324">
        <v>20</v>
      </c>
      <c r="R42" s="325">
        <v>46149</v>
      </c>
      <c r="S42" s="247" t="s">
        <v>668</v>
      </c>
      <c r="T42" s="247" t="s">
        <v>418</v>
      </c>
    </row>
    <row r="43" spans="2:20" ht="15.75" customHeight="1" x14ac:dyDescent="0.2">
      <c r="P43" s="247" t="s">
        <v>35</v>
      </c>
      <c r="Q43" s="324">
        <v>229</v>
      </c>
      <c r="R43" s="325">
        <v>46149</v>
      </c>
      <c r="S43" s="247" t="s">
        <v>669</v>
      </c>
      <c r="T43" s="247" t="s">
        <v>418</v>
      </c>
    </row>
    <row r="44" spans="2:20" ht="15.75" customHeight="1" x14ac:dyDescent="0.2">
      <c r="P44" s="316" t="s">
        <v>35</v>
      </c>
      <c r="Q44" s="317">
        <v>10.93</v>
      </c>
      <c r="R44" s="323">
        <v>46150</v>
      </c>
      <c r="S44" s="316" t="s">
        <v>209</v>
      </c>
      <c r="T44" s="316"/>
    </row>
    <row r="45" spans="2:20" ht="15.75" customHeight="1" x14ac:dyDescent="0.2">
      <c r="P45" s="316" t="s">
        <v>35</v>
      </c>
      <c r="Q45" s="317">
        <v>10.94</v>
      </c>
      <c r="R45" s="323">
        <v>46150</v>
      </c>
      <c r="S45" s="316" t="s">
        <v>209</v>
      </c>
      <c r="T45" s="316"/>
    </row>
    <row r="46" spans="2:20" ht="15" customHeight="1" x14ac:dyDescent="0.2">
      <c r="N46" s="173"/>
      <c r="P46" s="316" t="s">
        <v>35</v>
      </c>
      <c r="Q46" s="317">
        <f>20.1-5.55-5.55</f>
        <v>9</v>
      </c>
      <c r="R46" s="323">
        <v>46150</v>
      </c>
      <c r="S46" s="316" t="s">
        <v>661</v>
      </c>
      <c r="T46" s="316"/>
    </row>
    <row r="47" spans="2:20" ht="15.75" customHeight="1" x14ac:dyDescent="0.2">
      <c r="O47" s="173"/>
      <c r="P47" s="316" t="s">
        <v>59</v>
      </c>
      <c r="Q47" s="317">
        <v>21.7</v>
      </c>
      <c r="R47" s="323">
        <v>46150</v>
      </c>
      <c r="S47" s="316" t="s">
        <v>585</v>
      </c>
      <c r="T47" s="316"/>
    </row>
    <row r="48" spans="2:20" ht="15.75" customHeight="1" x14ac:dyDescent="0.2">
      <c r="F48" s="70"/>
      <c r="P48" s="316" t="s">
        <v>59</v>
      </c>
      <c r="Q48" s="317">
        <v>48</v>
      </c>
      <c r="R48" s="323">
        <v>46150</v>
      </c>
      <c r="S48" s="316" t="s">
        <v>664</v>
      </c>
      <c r="T48" s="316"/>
    </row>
    <row r="49" spans="13:20" ht="15.75" customHeight="1" x14ac:dyDescent="0.2">
      <c r="P49" s="316" t="s">
        <v>58</v>
      </c>
      <c r="Q49" s="317">
        <v>10</v>
      </c>
      <c r="R49" s="323">
        <v>46150</v>
      </c>
      <c r="S49" s="316" t="s">
        <v>666</v>
      </c>
      <c r="T49" s="316"/>
    </row>
    <row r="50" spans="13:20" ht="15.75" customHeight="1" x14ac:dyDescent="0.2">
      <c r="P50" s="247" t="s">
        <v>21</v>
      </c>
      <c r="Q50" s="324">
        <v>51.14</v>
      </c>
      <c r="R50" s="325">
        <v>46150</v>
      </c>
      <c r="S50" s="247" t="s">
        <v>223</v>
      </c>
      <c r="T50" s="247" t="s">
        <v>418</v>
      </c>
    </row>
    <row r="51" spans="13:20" ht="15.75" customHeight="1" x14ac:dyDescent="0.2">
      <c r="P51" s="316" t="s">
        <v>23</v>
      </c>
      <c r="Q51" s="317">
        <v>16.079999999999998</v>
      </c>
      <c r="R51" s="323">
        <v>46150</v>
      </c>
      <c r="S51" s="316" t="s">
        <v>603</v>
      </c>
      <c r="T51" s="316"/>
    </row>
    <row r="52" spans="13:20" ht="15.75" customHeight="1" x14ac:dyDescent="0.2">
      <c r="P52" s="316" t="s">
        <v>58</v>
      </c>
      <c r="Q52" s="317">
        <v>10</v>
      </c>
      <c r="R52" s="323">
        <v>46150</v>
      </c>
      <c r="S52" s="316" t="s">
        <v>250</v>
      </c>
      <c r="T52" s="316"/>
    </row>
    <row r="53" spans="13:20" ht="15.75" customHeight="1" x14ac:dyDescent="0.2">
      <c r="P53" s="316" t="s">
        <v>59</v>
      </c>
      <c r="Q53" s="317">
        <v>37.99</v>
      </c>
      <c r="R53" s="323">
        <v>46151</v>
      </c>
      <c r="S53" s="316" t="s">
        <v>659</v>
      </c>
      <c r="T53" s="316"/>
    </row>
    <row r="54" spans="13:20" ht="15.75" customHeight="1" x14ac:dyDescent="0.2">
      <c r="P54" s="316" t="s">
        <v>35</v>
      </c>
      <c r="Q54" s="317">
        <v>100</v>
      </c>
      <c r="R54" s="323">
        <v>46151</v>
      </c>
      <c r="S54" s="316" t="s">
        <v>610</v>
      </c>
      <c r="T54" s="316"/>
    </row>
    <row r="55" spans="13:20" ht="15.75" customHeight="1" x14ac:dyDescent="0.2">
      <c r="P55" s="316" t="s">
        <v>35</v>
      </c>
      <c r="Q55" s="317">
        <v>137.79</v>
      </c>
      <c r="R55" s="323">
        <v>46151</v>
      </c>
      <c r="S55" s="316" t="s">
        <v>665</v>
      </c>
      <c r="T55" s="316"/>
    </row>
    <row r="56" spans="13:20" ht="15.75" customHeight="1" x14ac:dyDescent="0.2">
      <c r="P56" s="316" t="s">
        <v>35</v>
      </c>
      <c r="Q56" s="317">
        <v>100</v>
      </c>
      <c r="R56" s="323">
        <v>46152</v>
      </c>
      <c r="S56" s="316" t="s">
        <v>678</v>
      </c>
      <c r="T56" s="316"/>
    </row>
    <row r="57" spans="13:20" ht="15.75" customHeight="1" x14ac:dyDescent="0.2">
      <c r="P57" s="316" t="s">
        <v>35</v>
      </c>
      <c r="Q57" s="317">
        <v>100</v>
      </c>
      <c r="R57" s="323">
        <v>46152</v>
      </c>
      <c r="S57" s="316" t="s">
        <v>683</v>
      </c>
      <c r="T57" s="316"/>
    </row>
    <row r="58" spans="13:20" ht="15.75" customHeight="1" x14ac:dyDescent="0.2">
      <c r="P58" s="316" t="s">
        <v>58</v>
      </c>
      <c r="Q58" s="317">
        <v>17.05</v>
      </c>
      <c r="R58" s="323">
        <v>46153</v>
      </c>
      <c r="S58" s="316" t="s">
        <v>675</v>
      </c>
      <c r="T58" s="316"/>
    </row>
    <row r="59" spans="13:20" ht="15.75" customHeight="1" x14ac:dyDescent="0.2">
      <c r="P59" s="247" t="s">
        <v>21</v>
      </c>
      <c r="Q59" s="324">
        <v>46.74</v>
      </c>
      <c r="R59" s="325">
        <v>46153</v>
      </c>
      <c r="S59" s="247" t="s">
        <v>67</v>
      </c>
      <c r="T59" s="247" t="s">
        <v>418</v>
      </c>
    </row>
    <row r="60" spans="13:20" ht="15.75" customHeight="1" x14ac:dyDescent="0.2">
      <c r="M60" s="37" t="s">
        <v>39</v>
      </c>
      <c r="O60" s="37" t="s">
        <v>39</v>
      </c>
      <c r="P60" s="316" t="s">
        <v>58</v>
      </c>
      <c r="Q60" s="317">
        <v>25.8</v>
      </c>
      <c r="R60" s="323">
        <v>46153</v>
      </c>
      <c r="S60" s="316" t="s">
        <v>99</v>
      </c>
      <c r="T60" s="316"/>
    </row>
    <row r="61" spans="13:20" ht="15.75" customHeight="1" x14ac:dyDescent="0.2">
      <c r="P61" s="316" t="s">
        <v>33</v>
      </c>
      <c r="Q61" s="317">
        <v>50</v>
      </c>
      <c r="R61" s="323">
        <v>46153</v>
      </c>
      <c r="S61" s="316" t="s">
        <v>681</v>
      </c>
      <c r="T61" s="316"/>
    </row>
    <row r="62" spans="13:20" ht="15.75" customHeight="1" x14ac:dyDescent="0.2">
      <c r="P62" s="316" t="s">
        <v>35</v>
      </c>
      <c r="Q62" s="317">
        <v>7.93</v>
      </c>
      <c r="R62" s="323">
        <v>46153</v>
      </c>
      <c r="S62" s="316" t="s">
        <v>209</v>
      </c>
      <c r="T62" s="316"/>
    </row>
    <row r="63" spans="13:20" ht="15.75" customHeight="1" x14ac:dyDescent="0.2">
      <c r="P63" s="316" t="s">
        <v>59</v>
      </c>
      <c r="Q63" s="317">
        <v>3.19</v>
      </c>
      <c r="R63" s="323">
        <v>46153</v>
      </c>
      <c r="S63" s="316" t="s">
        <v>180</v>
      </c>
      <c r="T63" s="316"/>
    </row>
    <row r="64" spans="13:20" ht="15.75" customHeight="1" x14ac:dyDescent="0.2">
      <c r="P64" s="316" t="s">
        <v>58</v>
      </c>
      <c r="Q64" s="317">
        <v>10</v>
      </c>
      <c r="R64" s="323">
        <v>46154</v>
      </c>
      <c r="S64" s="316" t="s">
        <v>674</v>
      </c>
      <c r="T64" s="316"/>
    </row>
    <row r="65" spans="15:20" ht="15.75" customHeight="1" x14ac:dyDescent="0.2">
      <c r="P65" s="247" t="s">
        <v>33</v>
      </c>
      <c r="Q65" s="324">
        <v>62.18</v>
      </c>
      <c r="R65" s="325">
        <v>46154</v>
      </c>
      <c r="S65" s="247" t="s">
        <v>676</v>
      </c>
      <c r="T65" s="247" t="s">
        <v>418</v>
      </c>
    </row>
    <row r="66" spans="15:20" ht="15.75" customHeight="1" x14ac:dyDescent="0.2">
      <c r="O66" s="44"/>
      <c r="P66" s="316" t="s">
        <v>59</v>
      </c>
      <c r="Q66" s="317">
        <v>5</v>
      </c>
      <c r="R66" s="323">
        <v>46154</v>
      </c>
      <c r="S66" s="316" t="s">
        <v>680</v>
      </c>
      <c r="T66" s="316"/>
    </row>
    <row r="67" spans="15:20" ht="15.75" customHeight="1" x14ac:dyDescent="0.2">
      <c r="P67" s="316" t="s">
        <v>35</v>
      </c>
      <c r="Q67" s="317">
        <v>9.93</v>
      </c>
      <c r="R67" s="323">
        <v>46154</v>
      </c>
      <c r="S67" s="316" t="s">
        <v>209</v>
      </c>
      <c r="T67" s="316"/>
    </row>
    <row r="68" spans="15:20" ht="15.75" customHeight="1" x14ac:dyDescent="0.2">
      <c r="P68" s="316" t="s">
        <v>35</v>
      </c>
      <c r="Q68" s="317">
        <v>137.79</v>
      </c>
      <c r="R68" s="323">
        <v>46154</v>
      </c>
      <c r="S68" s="316" t="s">
        <v>682</v>
      </c>
      <c r="T68" s="316"/>
    </row>
    <row r="69" spans="15:20" ht="15.75" customHeight="1" x14ac:dyDescent="0.2">
      <c r="P69" s="316" t="s">
        <v>58</v>
      </c>
      <c r="Q69" s="317">
        <v>10</v>
      </c>
      <c r="R69" s="323">
        <v>46154</v>
      </c>
      <c r="S69" s="316" t="s">
        <v>691</v>
      </c>
      <c r="T69" s="316"/>
    </row>
    <row r="70" spans="15:20" ht="15.75" customHeight="1" x14ac:dyDescent="0.2">
      <c r="P70" s="316" t="s">
        <v>35</v>
      </c>
      <c r="Q70" s="317">
        <v>8.94</v>
      </c>
      <c r="R70" s="323">
        <v>46155</v>
      </c>
      <c r="S70" s="316" t="s">
        <v>209</v>
      </c>
      <c r="T70" s="316"/>
    </row>
    <row r="71" spans="15:20" ht="15.75" customHeight="1" x14ac:dyDescent="0.2">
      <c r="P71" s="316" t="s">
        <v>35</v>
      </c>
      <c r="Q71" s="317">
        <v>10.94</v>
      </c>
      <c r="R71" s="323">
        <v>46155</v>
      </c>
      <c r="S71" s="316" t="s">
        <v>209</v>
      </c>
      <c r="T71" s="316"/>
    </row>
    <row r="72" spans="15:20" ht="15.75" customHeight="1" x14ac:dyDescent="0.2">
      <c r="P72" s="316" t="s">
        <v>23</v>
      </c>
      <c r="Q72" s="317">
        <v>47.09</v>
      </c>
      <c r="R72" s="323">
        <v>46155</v>
      </c>
      <c r="S72" s="316" t="s">
        <v>684</v>
      </c>
      <c r="T72" s="316"/>
    </row>
    <row r="73" spans="15:20" ht="15.75" customHeight="1" x14ac:dyDescent="0.2">
      <c r="P73" s="316" t="s">
        <v>59</v>
      </c>
      <c r="Q73" s="317">
        <v>8</v>
      </c>
      <c r="R73" s="323">
        <v>46155</v>
      </c>
      <c r="S73" s="316" t="s">
        <v>680</v>
      </c>
      <c r="T73" s="316"/>
    </row>
    <row r="74" spans="15:20" ht="15.75" customHeight="1" x14ac:dyDescent="0.2">
      <c r="P74" s="316" t="s">
        <v>35</v>
      </c>
      <c r="Q74" s="317">
        <v>11.94</v>
      </c>
      <c r="R74" s="323">
        <v>46156</v>
      </c>
      <c r="S74" s="316" t="s">
        <v>209</v>
      </c>
      <c r="T74" s="316"/>
    </row>
    <row r="75" spans="15:20" ht="15.75" customHeight="1" x14ac:dyDescent="0.2">
      <c r="P75" s="316" t="s">
        <v>23</v>
      </c>
      <c r="Q75" s="317">
        <v>7.99</v>
      </c>
      <c r="R75" s="323">
        <v>46156</v>
      </c>
      <c r="S75" s="316" t="s">
        <v>457</v>
      </c>
      <c r="T75" s="316"/>
    </row>
    <row r="76" spans="15:20" ht="15.75" customHeight="1" x14ac:dyDescent="0.2">
      <c r="P76" s="316" t="s">
        <v>58</v>
      </c>
      <c r="Q76" s="317">
        <v>10</v>
      </c>
      <c r="R76" s="323">
        <v>46156</v>
      </c>
      <c r="S76" s="316" t="s">
        <v>250</v>
      </c>
      <c r="T76" s="316"/>
    </row>
    <row r="77" spans="15:20" ht="15.75" customHeight="1" x14ac:dyDescent="0.2">
      <c r="P77" s="316" t="s">
        <v>58</v>
      </c>
      <c r="Q77" s="317">
        <v>10</v>
      </c>
      <c r="R77" s="323">
        <v>46156</v>
      </c>
      <c r="S77" s="316" t="s">
        <v>431</v>
      </c>
      <c r="T77" s="316"/>
    </row>
    <row r="78" spans="15:20" ht="15.75" customHeight="1" x14ac:dyDescent="0.2">
      <c r="P78" s="316" t="s">
        <v>35</v>
      </c>
      <c r="Q78" s="317">
        <v>10.95</v>
      </c>
      <c r="R78" s="323">
        <v>46157</v>
      </c>
      <c r="S78" s="316" t="s">
        <v>209</v>
      </c>
      <c r="T78" s="316"/>
    </row>
    <row r="79" spans="15:20" ht="15.75" customHeight="1" x14ac:dyDescent="0.2">
      <c r="P79" s="316" t="s">
        <v>59</v>
      </c>
      <c r="Q79" s="317">
        <v>12</v>
      </c>
      <c r="R79" s="323">
        <v>46157</v>
      </c>
      <c r="S79" s="316" t="s">
        <v>244</v>
      </c>
      <c r="T79" s="316"/>
    </row>
    <row r="80" spans="15:20" ht="15.75" customHeight="1" x14ac:dyDescent="0.2">
      <c r="P80" s="316" t="s">
        <v>35</v>
      </c>
      <c r="Q80" s="317">
        <v>31.94</v>
      </c>
      <c r="R80" s="323">
        <v>46157</v>
      </c>
      <c r="S80" s="316" t="s">
        <v>209</v>
      </c>
      <c r="T80" s="316"/>
    </row>
    <row r="81" spans="14:20" ht="15.75" customHeight="1" x14ac:dyDescent="0.2">
      <c r="P81" s="316" t="s">
        <v>23</v>
      </c>
      <c r="Q81" s="317">
        <v>7.99</v>
      </c>
      <c r="R81" s="323">
        <v>46157</v>
      </c>
      <c r="S81" s="316" t="s">
        <v>457</v>
      </c>
      <c r="T81" s="316"/>
    </row>
    <row r="82" spans="14:20" ht="15.75" customHeight="1" x14ac:dyDescent="0.2">
      <c r="P82" s="316" t="s">
        <v>58</v>
      </c>
      <c r="Q82" s="317">
        <v>15</v>
      </c>
      <c r="R82" s="323">
        <v>46157</v>
      </c>
      <c r="S82" s="316" t="s">
        <v>400</v>
      </c>
      <c r="T82" s="316"/>
    </row>
    <row r="83" spans="14:20" ht="15.75" customHeight="1" x14ac:dyDescent="0.2">
      <c r="P83" s="316" t="s">
        <v>59</v>
      </c>
      <c r="Q83" s="317">
        <f>60+45</f>
        <v>105</v>
      </c>
      <c r="R83" s="323">
        <v>46158</v>
      </c>
      <c r="S83" s="316" t="s">
        <v>686</v>
      </c>
      <c r="T83" s="316"/>
    </row>
    <row r="84" spans="14:20" ht="15.75" customHeight="1" x14ac:dyDescent="0.2">
      <c r="P84" s="316" t="s">
        <v>58</v>
      </c>
      <c r="Q84" s="317">
        <v>12</v>
      </c>
      <c r="R84" s="323">
        <v>46158</v>
      </c>
      <c r="S84" s="316" t="s">
        <v>685</v>
      </c>
      <c r="T84" s="316"/>
    </row>
    <row r="85" spans="14:20" ht="15.75" customHeight="1" x14ac:dyDescent="0.2">
      <c r="P85" s="316" t="s">
        <v>23</v>
      </c>
      <c r="Q85" s="317">
        <v>186.25</v>
      </c>
      <c r="R85" s="323">
        <v>46158</v>
      </c>
      <c r="S85" s="316" t="s">
        <v>581</v>
      </c>
      <c r="T85" s="316"/>
    </row>
    <row r="86" spans="14:20" ht="15.75" customHeight="1" x14ac:dyDescent="0.2">
      <c r="N86" s="70"/>
      <c r="P86" s="316" t="s">
        <v>270</v>
      </c>
      <c r="Q86" s="317">
        <v>25.5</v>
      </c>
      <c r="R86" s="323">
        <v>46158</v>
      </c>
      <c r="S86" s="316" t="s">
        <v>687</v>
      </c>
      <c r="T86" s="316"/>
    </row>
    <row r="87" spans="14:20" ht="15.75" customHeight="1" x14ac:dyDescent="0.2">
      <c r="P87" s="247" t="s">
        <v>21</v>
      </c>
      <c r="Q87" s="324">
        <v>53.78</v>
      </c>
      <c r="R87" s="325">
        <v>46158</v>
      </c>
      <c r="S87" s="247" t="s">
        <v>223</v>
      </c>
      <c r="T87" s="247" t="s">
        <v>418</v>
      </c>
    </row>
    <row r="88" spans="14:20" ht="15.75" customHeight="1" x14ac:dyDescent="0.2">
      <c r="P88" s="247" t="s">
        <v>33</v>
      </c>
      <c r="Q88" s="324">
        <v>59.1</v>
      </c>
      <c r="R88" s="325">
        <v>46158</v>
      </c>
      <c r="S88" s="247" t="s">
        <v>340</v>
      </c>
      <c r="T88" s="247" t="s">
        <v>418</v>
      </c>
    </row>
    <row r="89" spans="14:20" ht="15.75" customHeight="1" x14ac:dyDescent="0.2">
      <c r="P89" s="247" t="s">
        <v>33</v>
      </c>
      <c r="Q89" s="324">
        <v>40</v>
      </c>
      <c r="R89" s="325">
        <v>46158</v>
      </c>
      <c r="S89" s="247" t="s">
        <v>695</v>
      </c>
      <c r="T89" s="247" t="s">
        <v>418</v>
      </c>
    </row>
    <row r="90" spans="14:20" ht="15.75" customHeight="1" x14ac:dyDescent="0.2">
      <c r="P90" s="247" t="s">
        <v>33</v>
      </c>
      <c r="Q90" s="324">
        <v>40</v>
      </c>
      <c r="R90" s="325">
        <v>46158</v>
      </c>
      <c r="S90" s="247" t="s">
        <v>695</v>
      </c>
      <c r="T90" s="247" t="s">
        <v>418</v>
      </c>
    </row>
    <row r="91" spans="14:20" ht="15.75" customHeight="1" x14ac:dyDescent="0.2">
      <c r="P91" s="247" t="s">
        <v>33</v>
      </c>
      <c r="Q91" s="324">
        <v>38</v>
      </c>
      <c r="R91" s="325">
        <v>46158</v>
      </c>
      <c r="S91" s="247" t="s">
        <v>696</v>
      </c>
      <c r="T91" s="247" t="s">
        <v>418</v>
      </c>
    </row>
    <row r="92" spans="14:20" ht="15.75" customHeight="1" x14ac:dyDescent="0.2">
      <c r="P92" s="247" t="s">
        <v>33</v>
      </c>
      <c r="Q92" s="324">
        <v>30</v>
      </c>
      <c r="R92" s="325">
        <v>46158</v>
      </c>
      <c r="S92" s="247" t="s">
        <v>697</v>
      </c>
      <c r="T92" s="247" t="s">
        <v>418</v>
      </c>
    </row>
    <row r="93" spans="14:20" ht="15.75" customHeight="1" x14ac:dyDescent="0.2">
      <c r="P93" s="247" t="s">
        <v>21</v>
      </c>
      <c r="Q93" s="324">
        <v>53.78</v>
      </c>
      <c r="R93" s="325">
        <v>46158</v>
      </c>
      <c r="S93" s="247" t="s">
        <v>223</v>
      </c>
      <c r="T93" s="247" t="s">
        <v>418</v>
      </c>
    </row>
    <row r="94" spans="14:20" ht="15.75" customHeight="1" x14ac:dyDescent="0.2">
      <c r="P94" s="316" t="s">
        <v>33</v>
      </c>
      <c r="Q94" s="317">
        <v>39.43</v>
      </c>
      <c r="R94" s="323">
        <v>46158</v>
      </c>
      <c r="S94" s="316" t="s">
        <v>699</v>
      </c>
      <c r="T94" s="316"/>
    </row>
    <row r="95" spans="14:20" ht="15.75" customHeight="1" x14ac:dyDescent="0.2">
      <c r="P95" s="316"/>
      <c r="Q95" s="317">
        <v>5</v>
      </c>
      <c r="R95" s="323">
        <v>46158</v>
      </c>
      <c r="S95" s="316" t="s">
        <v>672</v>
      </c>
      <c r="T95" s="316"/>
    </row>
    <row r="96" spans="14:20" ht="15.75" customHeight="1" x14ac:dyDescent="0.2">
      <c r="P96" s="247" t="s">
        <v>32</v>
      </c>
      <c r="Q96" s="324">
        <v>196.84</v>
      </c>
      <c r="R96" s="325">
        <v>46159</v>
      </c>
      <c r="S96" s="247" t="s">
        <v>693</v>
      </c>
      <c r="T96" s="247" t="s">
        <v>418</v>
      </c>
    </row>
    <row r="97" spans="16:20" ht="15.75" customHeight="1" x14ac:dyDescent="0.2">
      <c r="P97" s="247" t="s">
        <v>59</v>
      </c>
      <c r="Q97" s="324">
        <v>7.5</v>
      </c>
      <c r="R97" s="325">
        <v>46159</v>
      </c>
      <c r="S97" s="247" t="s">
        <v>694</v>
      </c>
      <c r="T97" s="247" t="s">
        <v>418</v>
      </c>
    </row>
    <row r="98" spans="16:20" ht="15.75" customHeight="1" x14ac:dyDescent="0.2">
      <c r="P98" s="247" t="s">
        <v>33</v>
      </c>
      <c r="Q98" s="324">
        <v>88.85</v>
      </c>
      <c r="R98" s="325">
        <v>46159</v>
      </c>
      <c r="S98" s="247" t="s">
        <v>596</v>
      </c>
      <c r="T98" s="247" t="s">
        <v>418</v>
      </c>
    </row>
    <row r="99" spans="16:20" ht="15.75" customHeight="1" x14ac:dyDescent="0.2">
      <c r="P99" s="316" t="s">
        <v>33</v>
      </c>
      <c r="Q99" s="317">
        <v>140</v>
      </c>
      <c r="R99" s="323">
        <v>46159</v>
      </c>
      <c r="S99" s="316" t="s">
        <v>698</v>
      </c>
      <c r="T99" s="316"/>
    </row>
    <row r="100" spans="16:20" ht="15.75" customHeight="1" x14ac:dyDescent="0.2">
      <c r="P100" s="316" t="s">
        <v>35</v>
      </c>
      <c r="Q100" s="317">
        <v>8.9499999999999993</v>
      </c>
      <c r="R100" s="323">
        <v>46160</v>
      </c>
      <c r="S100" s="316" t="s">
        <v>209</v>
      </c>
      <c r="T100" s="316"/>
    </row>
    <row r="101" spans="16:20" ht="15.75" customHeight="1" x14ac:dyDescent="0.2">
      <c r="P101" s="316" t="s">
        <v>35</v>
      </c>
      <c r="Q101" s="317">
        <v>8.94</v>
      </c>
      <c r="R101" s="323">
        <v>46161</v>
      </c>
      <c r="S101" s="316" t="s">
        <v>209</v>
      </c>
      <c r="T101" s="316"/>
    </row>
    <row r="102" spans="16:20" ht="15.75" customHeight="1" x14ac:dyDescent="0.2">
      <c r="P102" s="317" t="s">
        <v>21</v>
      </c>
      <c r="Q102" s="317">
        <v>32.369999999999997</v>
      </c>
      <c r="R102" s="323">
        <v>46161</v>
      </c>
      <c r="S102" s="316" t="s">
        <v>689</v>
      </c>
      <c r="T102" s="316"/>
    </row>
    <row r="103" spans="16:20" ht="15.75" customHeight="1" x14ac:dyDescent="0.2">
      <c r="P103" s="316" t="s">
        <v>35</v>
      </c>
      <c r="Q103" s="317">
        <v>12.95</v>
      </c>
      <c r="R103" s="323">
        <v>46161</v>
      </c>
      <c r="S103" s="316" t="s">
        <v>209</v>
      </c>
      <c r="T103" s="316"/>
    </row>
    <row r="104" spans="16:20" ht="15.75" customHeight="1" x14ac:dyDescent="0.2">
      <c r="P104" s="316" t="s">
        <v>35</v>
      </c>
      <c r="Q104" s="317">
        <v>8.9499999999999993</v>
      </c>
      <c r="R104" s="323">
        <v>46162</v>
      </c>
      <c r="S104" s="316" t="s">
        <v>209</v>
      </c>
      <c r="T104" s="316"/>
    </row>
    <row r="105" spans="16:20" ht="15.75" customHeight="1" x14ac:dyDescent="0.2">
      <c r="P105" s="316" t="s">
        <v>35</v>
      </c>
      <c r="Q105" s="317">
        <v>11.94</v>
      </c>
      <c r="R105" s="323">
        <v>46162</v>
      </c>
      <c r="S105" s="316" t="s">
        <v>209</v>
      </c>
      <c r="T105" s="316"/>
    </row>
    <row r="106" spans="16:20" ht="15.75" customHeight="1" x14ac:dyDescent="0.2">
      <c r="P106" s="316" t="s">
        <v>35</v>
      </c>
      <c r="Q106" s="317">
        <v>8.94</v>
      </c>
      <c r="R106" s="323">
        <v>46163</v>
      </c>
      <c r="S106" s="316" t="s">
        <v>209</v>
      </c>
      <c r="T106" s="316"/>
    </row>
    <row r="107" spans="16:20" ht="15.75" customHeight="1" x14ac:dyDescent="0.2">
      <c r="P107" s="316" t="s">
        <v>35</v>
      </c>
      <c r="Q107" s="317">
        <v>10.94</v>
      </c>
      <c r="R107" s="323">
        <v>46163</v>
      </c>
      <c r="S107" s="316" t="s">
        <v>209</v>
      </c>
      <c r="T107" s="316"/>
    </row>
    <row r="108" spans="16:20" ht="15.75" customHeight="1" x14ac:dyDescent="0.2">
      <c r="P108" s="316" t="s">
        <v>59</v>
      </c>
      <c r="Q108" s="317">
        <v>12</v>
      </c>
      <c r="R108" s="323">
        <v>46163</v>
      </c>
      <c r="S108" s="316" t="s">
        <v>688</v>
      </c>
      <c r="T108" s="316"/>
    </row>
    <row r="109" spans="16:20" ht="15.75" customHeight="1" x14ac:dyDescent="0.2">
      <c r="P109" s="316" t="s">
        <v>35</v>
      </c>
      <c r="Q109" s="317">
        <v>13.95</v>
      </c>
      <c r="R109" s="323">
        <v>46164</v>
      </c>
      <c r="S109" s="316" t="s">
        <v>209</v>
      </c>
      <c r="T109" s="316"/>
    </row>
    <row r="110" spans="16:20" ht="15.75" customHeight="1" x14ac:dyDescent="0.2">
      <c r="P110" s="316" t="s">
        <v>59</v>
      </c>
      <c r="Q110" s="317">
        <f>39.95-10.99-10.99</f>
        <v>17.97</v>
      </c>
      <c r="R110" s="323">
        <v>46164</v>
      </c>
      <c r="S110" s="316" t="s">
        <v>180</v>
      </c>
      <c r="T110" s="316"/>
    </row>
    <row r="111" spans="16:20" ht="15.75" customHeight="1" x14ac:dyDescent="0.2">
      <c r="P111" s="316" t="s">
        <v>58</v>
      </c>
      <c r="Q111" s="317">
        <v>20</v>
      </c>
      <c r="R111" s="323">
        <v>46164</v>
      </c>
      <c r="S111" s="316" t="s">
        <v>690</v>
      </c>
      <c r="T111" s="316"/>
    </row>
    <row r="112" spans="16:20" ht="15.75" customHeight="1" x14ac:dyDescent="0.2">
      <c r="P112" s="247" t="s">
        <v>53</v>
      </c>
      <c r="Q112" s="324">
        <v>490</v>
      </c>
      <c r="R112" s="325">
        <v>46164</v>
      </c>
      <c r="S112" s="247" t="s">
        <v>692</v>
      </c>
      <c r="T112" s="247" t="s">
        <v>418</v>
      </c>
    </row>
    <row r="113" spans="16:20" ht="15.75" customHeight="1" x14ac:dyDescent="0.2">
      <c r="P113" s="316" t="s">
        <v>59</v>
      </c>
      <c r="Q113" s="317">
        <v>40</v>
      </c>
      <c r="R113" s="323">
        <v>46164</v>
      </c>
      <c r="S113" s="316" t="s">
        <v>700</v>
      </c>
      <c r="T113" s="316"/>
    </row>
    <row r="114" spans="16:20" ht="15.75" customHeight="1" x14ac:dyDescent="0.2">
      <c r="P114" s="316" t="s">
        <v>35</v>
      </c>
      <c r="Q114" s="317">
        <v>4</v>
      </c>
      <c r="R114" s="323">
        <v>46164</v>
      </c>
      <c r="S114" s="316" t="s">
        <v>717</v>
      </c>
      <c r="T114" s="316"/>
    </row>
    <row r="115" spans="16:20" ht="15.75" customHeight="1" x14ac:dyDescent="0.2">
      <c r="P115" s="247" t="s">
        <v>35</v>
      </c>
      <c r="Q115" s="324">
        <v>40</v>
      </c>
      <c r="R115" s="325">
        <v>46165</v>
      </c>
      <c r="S115" s="247" t="s">
        <v>100</v>
      </c>
      <c r="T115" s="247" t="s">
        <v>418</v>
      </c>
    </row>
    <row r="116" spans="16:20" ht="15.75" customHeight="1" x14ac:dyDescent="0.2">
      <c r="P116" s="316" t="s">
        <v>23</v>
      </c>
      <c r="Q116" s="317">
        <v>13.98</v>
      </c>
      <c r="R116" s="323">
        <v>46165</v>
      </c>
      <c r="S116" s="316" t="s">
        <v>474</v>
      </c>
      <c r="T116" s="316"/>
    </row>
    <row r="117" spans="16:20" ht="15.75" customHeight="1" x14ac:dyDescent="0.2">
      <c r="P117" s="316" t="s">
        <v>270</v>
      </c>
      <c r="Q117" s="317">
        <v>51.87</v>
      </c>
      <c r="R117" s="323">
        <v>46165</v>
      </c>
      <c r="S117" s="316" t="s">
        <v>712</v>
      </c>
      <c r="T117" s="316"/>
    </row>
    <row r="118" spans="16:20" ht="15.75" customHeight="1" x14ac:dyDescent="0.2">
      <c r="P118" s="316" t="s">
        <v>35</v>
      </c>
      <c r="Q118" s="317">
        <v>58.88</v>
      </c>
      <c r="R118" s="323">
        <v>46165</v>
      </c>
      <c r="S118" s="316" t="s">
        <v>711</v>
      </c>
      <c r="T118" s="316"/>
    </row>
    <row r="119" spans="16:20" ht="15.75" customHeight="1" x14ac:dyDescent="0.2">
      <c r="P119" s="247" t="s">
        <v>33</v>
      </c>
      <c r="Q119" s="324">
        <v>49.45</v>
      </c>
      <c r="R119" s="325">
        <v>46166</v>
      </c>
      <c r="S119" s="247" t="s">
        <v>102</v>
      </c>
      <c r="T119" s="247" t="s">
        <v>418</v>
      </c>
    </row>
    <row r="120" spans="16:20" ht="15.75" customHeight="1" x14ac:dyDescent="0.2">
      <c r="P120" s="247" t="s">
        <v>53</v>
      </c>
      <c r="Q120" s="324">
        <v>149.41</v>
      </c>
      <c r="R120" s="325">
        <v>46166</v>
      </c>
      <c r="S120" s="247" t="s">
        <v>701</v>
      </c>
      <c r="T120" s="247" t="s">
        <v>418</v>
      </c>
    </row>
    <row r="121" spans="16:20" ht="15.75" customHeight="1" x14ac:dyDescent="0.2">
      <c r="P121" s="316" t="s">
        <v>270</v>
      </c>
      <c r="Q121" s="317">
        <v>23.5</v>
      </c>
      <c r="R121" s="323">
        <v>46166</v>
      </c>
      <c r="S121" s="316" t="s">
        <v>267</v>
      </c>
      <c r="T121" s="316"/>
    </row>
    <row r="122" spans="16:20" ht="15.75" customHeight="1" x14ac:dyDescent="0.2">
      <c r="P122" s="316" t="s">
        <v>23</v>
      </c>
      <c r="Q122" s="317">
        <v>61.27</v>
      </c>
      <c r="R122" s="323">
        <v>46167</v>
      </c>
      <c r="S122" s="316" t="s">
        <v>713</v>
      </c>
      <c r="T122" s="316"/>
    </row>
    <row r="123" spans="16:20" ht="15.75" customHeight="1" x14ac:dyDescent="0.2">
      <c r="P123" s="316" t="s">
        <v>35</v>
      </c>
      <c r="Q123" s="317">
        <v>9.9499999999999993</v>
      </c>
      <c r="R123" s="323">
        <v>46167</v>
      </c>
      <c r="S123" s="316" t="s">
        <v>209</v>
      </c>
      <c r="T123" s="316"/>
    </row>
    <row r="124" spans="16:20" ht="15.75" customHeight="1" x14ac:dyDescent="0.2">
      <c r="P124" s="316" t="s">
        <v>35</v>
      </c>
      <c r="Q124" s="317">
        <v>13.96</v>
      </c>
      <c r="R124" s="323">
        <v>46167</v>
      </c>
      <c r="S124" s="316" t="s">
        <v>209</v>
      </c>
      <c r="T124" s="316"/>
    </row>
    <row r="125" spans="16:20" ht="15.75" customHeight="1" x14ac:dyDescent="0.2">
      <c r="P125" s="316" t="s">
        <v>35</v>
      </c>
      <c r="Q125" s="317">
        <v>10.93</v>
      </c>
      <c r="R125" s="323">
        <v>46168</v>
      </c>
      <c r="S125" s="316" t="s">
        <v>209</v>
      </c>
      <c r="T125" s="316"/>
    </row>
    <row r="126" spans="16:20" ht="15.75" customHeight="1" x14ac:dyDescent="0.2">
      <c r="P126" s="316" t="s">
        <v>35</v>
      </c>
      <c r="Q126" s="317">
        <v>7.95</v>
      </c>
      <c r="R126" s="323">
        <v>46168</v>
      </c>
      <c r="S126" s="316" t="s">
        <v>209</v>
      </c>
      <c r="T126" s="316"/>
    </row>
    <row r="127" spans="16:20" ht="15.75" customHeight="1" x14ac:dyDescent="0.2">
      <c r="P127" s="316" t="s">
        <v>35</v>
      </c>
      <c r="Q127" s="317">
        <v>20</v>
      </c>
      <c r="R127" s="323">
        <v>46168</v>
      </c>
      <c r="S127" s="316" t="s">
        <v>716</v>
      </c>
      <c r="T127" s="316"/>
    </row>
    <row r="128" spans="16:20" ht="15.75" customHeight="1" x14ac:dyDescent="0.2">
      <c r="P128" s="316" t="s">
        <v>35</v>
      </c>
      <c r="Q128" s="317">
        <v>20.100000000000001</v>
      </c>
      <c r="R128" s="323">
        <v>46168</v>
      </c>
      <c r="S128" s="316" t="s">
        <v>715</v>
      </c>
      <c r="T128" s="316"/>
    </row>
    <row r="129" spans="16:20" ht="15.75" customHeight="1" x14ac:dyDescent="0.2">
      <c r="P129" s="316" t="s">
        <v>59</v>
      </c>
      <c r="Q129" s="317">
        <v>22.4</v>
      </c>
      <c r="R129" s="323">
        <v>46169</v>
      </c>
      <c r="S129" s="316" t="s">
        <v>704</v>
      </c>
      <c r="T129" s="316"/>
    </row>
    <row r="130" spans="16:20" ht="15.75" customHeight="1" x14ac:dyDescent="0.2">
      <c r="P130" s="316" t="s">
        <v>59</v>
      </c>
      <c r="Q130" s="317">
        <v>2.5</v>
      </c>
      <c r="R130" s="323">
        <v>46169</v>
      </c>
      <c r="S130" s="316" t="s">
        <v>708</v>
      </c>
      <c r="T130" s="316"/>
    </row>
    <row r="131" spans="16:20" ht="15.75" customHeight="1" x14ac:dyDescent="0.2">
      <c r="P131" s="316" t="s">
        <v>58</v>
      </c>
      <c r="Q131" s="317">
        <v>15</v>
      </c>
      <c r="R131" s="323">
        <v>46169</v>
      </c>
      <c r="S131" s="316" t="s">
        <v>709</v>
      </c>
      <c r="T131" s="316"/>
    </row>
    <row r="132" spans="16:20" ht="15.75" customHeight="1" x14ac:dyDescent="0.2">
      <c r="P132" s="316" t="s">
        <v>23</v>
      </c>
      <c r="Q132" s="317">
        <v>52.68</v>
      </c>
      <c r="R132" s="323">
        <v>46169</v>
      </c>
      <c r="S132" s="316" t="s">
        <v>714</v>
      </c>
      <c r="T132" s="316"/>
    </row>
    <row r="133" spans="16:20" ht="15.75" customHeight="1" x14ac:dyDescent="0.2">
      <c r="P133" s="316" t="s">
        <v>59</v>
      </c>
      <c r="Q133" s="317">
        <v>2.89</v>
      </c>
      <c r="R133" s="323">
        <v>46169</v>
      </c>
      <c r="S133" s="316" t="s">
        <v>710</v>
      </c>
      <c r="T133" s="316"/>
    </row>
    <row r="134" spans="16:20" ht="15.75" customHeight="1" x14ac:dyDescent="0.2">
      <c r="P134" s="316" t="s">
        <v>35</v>
      </c>
      <c r="Q134" s="317">
        <v>20.100000000000001</v>
      </c>
      <c r="R134" s="323">
        <v>46169</v>
      </c>
      <c r="S134" s="316" t="s">
        <v>715</v>
      </c>
      <c r="T134" s="316"/>
    </row>
    <row r="135" spans="16:20" ht="15.75" customHeight="1" x14ac:dyDescent="0.2">
      <c r="P135" s="316" t="s">
        <v>23</v>
      </c>
      <c r="Q135" s="317">
        <v>17.37</v>
      </c>
      <c r="R135" s="323">
        <v>46170</v>
      </c>
      <c r="S135" s="316" t="s">
        <v>706</v>
      </c>
      <c r="T135" s="316"/>
    </row>
    <row r="136" spans="16:20" ht="15.75" customHeight="1" x14ac:dyDescent="0.2">
      <c r="P136" s="316" t="s">
        <v>23</v>
      </c>
      <c r="Q136" s="317">
        <v>7.45</v>
      </c>
      <c r="R136" s="323">
        <v>46170</v>
      </c>
      <c r="S136" s="316" t="s">
        <v>707</v>
      </c>
      <c r="T136" s="316"/>
    </row>
    <row r="137" spans="16:20" ht="15.75" customHeight="1" x14ac:dyDescent="0.2">
      <c r="P137" s="316" t="s">
        <v>59</v>
      </c>
      <c r="Q137" s="317">
        <v>26.17</v>
      </c>
      <c r="R137" s="323">
        <v>46171</v>
      </c>
      <c r="S137" s="316" t="s">
        <v>704</v>
      </c>
      <c r="T137" s="316"/>
    </row>
    <row r="138" spans="16:20" ht="15.75" customHeight="1" x14ac:dyDescent="0.2">
      <c r="P138" s="316" t="s">
        <v>270</v>
      </c>
      <c r="Q138" s="317">
        <v>37.479999999999997</v>
      </c>
      <c r="R138" s="323">
        <v>46171</v>
      </c>
      <c r="S138" s="316" t="s">
        <v>705</v>
      </c>
      <c r="T138" s="316"/>
    </row>
    <row r="139" spans="16:20" ht="15.75" customHeight="1" x14ac:dyDescent="0.2">
      <c r="P139" s="316" t="s">
        <v>23</v>
      </c>
      <c r="Q139" s="317">
        <v>12.49</v>
      </c>
      <c r="R139" s="323">
        <v>46172</v>
      </c>
      <c r="S139" s="316" t="s">
        <v>603</v>
      </c>
      <c r="T139" s="316"/>
    </row>
    <row r="140" spans="16:20" ht="15.75" customHeight="1" x14ac:dyDescent="0.2">
      <c r="P140" s="316" t="s">
        <v>33</v>
      </c>
      <c r="Q140" s="317">
        <v>40</v>
      </c>
      <c r="R140" s="323">
        <v>46172</v>
      </c>
      <c r="S140" s="316" t="s">
        <v>585</v>
      </c>
      <c r="T140" s="316"/>
    </row>
    <row r="141" spans="16:20" ht="15.75" customHeight="1" x14ac:dyDescent="0.2">
      <c r="P141" s="247" t="s">
        <v>35</v>
      </c>
      <c r="Q141" s="324">
        <v>177.6</v>
      </c>
      <c r="R141" s="325">
        <v>46213</v>
      </c>
      <c r="S141" s="247" t="s">
        <v>677</v>
      </c>
      <c r="T141" s="247" t="s">
        <v>418</v>
      </c>
    </row>
    <row r="142" spans="16:20" ht="15.75" customHeight="1" x14ac:dyDescent="0.2">
      <c r="P142" s="247" t="s">
        <v>39</v>
      </c>
      <c r="Q142" s="324">
        <v>96.99</v>
      </c>
      <c r="R142" s="247" t="s">
        <v>39</v>
      </c>
      <c r="S142" s="247" t="s">
        <v>670</v>
      </c>
      <c r="T142" s="247" t="s">
        <v>418</v>
      </c>
    </row>
    <row r="143" spans="16:20" ht="15.75" customHeight="1" x14ac:dyDescent="0.2">
      <c r="P143" s="326" t="s">
        <v>35</v>
      </c>
      <c r="Q143" s="327">
        <v>-90</v>
      </c>
      <c r="R143" s="326" t="s">
        <v>39</v>
      </c>
      <c r="S143" s="326" t="s">
        <v>679</v>
      </c>
      <c r="T143" s="326"/>
    </row>
    <row r="144" spans="16:20" ht="15.75" customHeight="1" x14ac:dyDescent="0.2">
      <c r="P144" s="313" t="s">
        <v>35</v>
      </c>
      <c r="Q144" s="315">
        <v>300</v>
      </c>
      <c r="R144" s="313"/>
      <c r="S144" s="313" t="s">
        <v>643</v>
      </c>
      <c r="T144" s="313"/>
    </row>
    <row r="145" spans="16:20" ht="15.75" customHeight="1" x14ac:dyDescent="0.2">
      <c r="P145" s="313" t="s">
        <v>23</v>
      </c>
      <c r="Q145" s="315">
        <v>-300</v>
      </c>
      <c r="R145" s="313"/>
      <c r="S145" s="313" t="s">
        <v>643</v>
      </c>
      <c r="T145" s="313"/>
    </row>
    <row r="146" spans="16:20" ht="15.75" customHeight="1" x14ac:dyDescent="0.2">
      <c r="P146" s="313" t="s">
        <v>35</v>
      </c>
      <c r="Q146" s="315">
        <v>90</v>
      </c>
      <c r="R146" s="313"/>
      <c r="S146" s="313" t="s">
        <v>643</v>
      </c>
      <c r="T146" s="313"/>
    </row>
    <row r="147" spans="16:20" ht="15.75" customHeight="1" x14ac:dyDescent="0.2">
      <c r="P147" s="313" t="s">
        <v>59</v>
      </c>
      <c r="Q147" s="315">
        <v>-90</v>
      </c>
      <c r="R147" s="313"/>
      <c r="S147" s="313" t="s">
        <v>643</v>
      </c>
      <c r="T147" s="313"/>
    </row>
    <row r="148" spans="16:20" ht="15.75" customHeight="1" x14ac:dyDescent="0.2">
      <c r="P148" s="313" t="s">
        <v>35</v>
      </c>
      <c r="Q148" s="315">
        <v>200</v>
      </c>
      <c r="R148" s="313"/>
      <c r="S148" s="313" t="s">
        <v>643</v>
      </c>
      <c r="T148" s="313"/>
    </row>
    <row r="149" spans="16:20" ht="15.75" customHeight="1" x14ac:dyDescent="0.2">
      <c r="P149" s="313" t="s">
        <v>33</v>
      </c>
      <c r="Q149" s="315">
        <v>-200</v>
      </c>
      <c r="R149" s="313"/>
      <c r="S149" s="313" t="s">
        <v>643</v>
      </c>
      <c r="T149" s="313"/>
    </row>
    <row r="150" spans="16:20" ht="15.75" customHeight="1" x14ac:dyDescent="0.2">
      <c r="P150" s="321" t="s">
        <v>35</v>
      </c>
      <c r="Q150" s="322">
        <v>91.15</v>
      </c>
      <c r="R150" s="321"/>
      <c r="S150" s="321" t="s">
        <v>644</v>
      </c>
      <c r="T150" s="321"/>
    </row>
    <row r="151" spans="16:20" ht="15.75" customHeight="1" x14ac:dyDescent="0.2">
      <c r="P151" s="316"/>
      <c r="Q151" s="317"/>
      <c r="R151" s="316"/>
      <c r="S151" s="316"/>
      <c r="T151" s="316"/>
    </row>
    <row r="152" spans="16:20" ht="15.75" customHeight="1" x14ac:dyDescent="0.2">
      <c r="P152" s="316"/>
      <c r="Q152" s="317"/>
      <c r="R152" s="316"/>
      <c r="S152" s="316"/>
      <c r="T152" s="316"/>
    </row>
    <row r="153" spans="16:20" ht="15.75" customHeight="1" x14ac:dyDescent="0.2">
      <c r="P153" s="316"/>
      <c r="Q153" s="317"/>
      <c r="R153" s="316"/>
      <c r="S153" s="316"/>
      <c r="T153" s="316"/>
    </row>
    <row r="154" spans="16:20" ht="15.75" customHeight="1" x14ac:dyDescent="0.2">
      <c r="P154" s="316"/>
      <c r="Q154" s="317"/>
      <c r="R154" s="316"/>
      <c r="S154" s="316"/>
      <c r="T154" s="316"/>
    </row>
    <row r="155" spans="16:20" ht="15.75" customHeight="1" x14ac:dyDescent="0.2">
      <c r="P155" s="316"/>
      <c r="Q155" s="317"/>
      <c r="R155" s="316"/>
      <c r="S155" s="316"/>
      <c r="T155" s="316"/>
    </row>
    <row r="156" spans="16:20" ht="15.75" customHeight="1" x14ac:dyDescent="0.2">
      <c r="P156" s="316"/>
      <c r="Q156" s="317"/>
      <c r="R156" s="316"/>
      <c r="S156" s="316"/>
      <c r="T156" s="316"/>
    </row>
    <row r="157" spans="16:20" ht="15.75" customHeight="1" x14ac:dyDescent="0.2">
      <c r="P157" s="316"/>
      <c r="Q157" s="317"/>
      <c r="R157" s="316"/>
      <c r="S157" s="316"/>
      <c r="T157" s="316"/>
    </row>
    <row r="158" spans="16:20" ht="15.75" customHeight="1" x14ac:dyDescent="0.2">
      <c r="P158" s="316"/>
      <c r="Q158" s="317"/>
      <c r="R158" s="316"/>
      <c r="S158" s="316"/>
      <c r="T158" s="316"/>
    </row>
    <row r="159" spans="16:20" ht="15.75" customHeight="1" x14ac:dyDescent="0.2">
      <c r="P159" s="316"/>
      <c r="Q159" s="317"/>
      <c r="R159" s="316"/>
      <c r="S159" s="316"/>
      <c r="T159" s="316"/>
    </row>
  </sheetData>
  <mergeCells count="14">
    <mergeCell ref="B16:B17"/>
    <mergeCell ref="C16:C17"/>
    <mergeCell ref="B2:C2"/>
    <mergeCell ref="B7:B8"/>
    <mergeCell ref="M11:N11"/>
    <mergeCell ref="B12:B13"/>
    <mergeCell ref="C12:C13"/>
    <mergeCell ref="J35:N35"/>
    <mergeCell ref="B38:C38"/>
    <mergeCell ref="E22:G22"/>
    <mergeCell ref="K22:N23"/>
    <mergeCell ref="K24:N25"/>
    <mergeCell ref="J33:N33"/>
    <mergeCell ref="J34:N34"/>
  </mergeCells>
  <conditionalFormatting sqref="F24:F33">
    <cfRule type="cellIs" dxfId="13" priority="1" operator="greaterThan">
      <formula>0</formula>
    </cfRule>
    <cfRule type="cellIs" dxfId="12" priority="2" operator="lessThan">
      <formula>0</formula>
    </cfRule>
  </conditionalFormatting>
  <conditionalFormatting sqref="G24:G33">
    <cfRule type="cellIs" dxfId="11" priority="3" operator="lessThan">
      <formula>0</formula>
    </cfRule>
    <cfRule type="cellIs" dxfId="10" priority="4" operator="greaterThan">
      <formula>0</formula>
    </cfRule>
    <cfRule type="cellIs" dxfId="9" priority="5" operator="greaterThan">
      <formula>0</formula>
    </cfRule>
  </conditionalFormatting>
  <conditionalFormatting sqref="K22">
    <cfRule type="containsText" dxfId="8" priority="7" operator="containsText" text="Gasto com Extra ok">
      <formula>NOT(ISERROR(SEARCH("Gasto com Extra ok",K22)))</formula>
    </cfRule>
    <cfRule type="containsText" dxfId="7" priority="8" operator="containsText" text="Continuem assim">
      <formula>NOT(ISERROR(SEARCH("Continuem assim",K22)))</formula>
    </cfRule>
    <cfRule type="containsText" dxfId="6" priority="11" operator="containsText" text="ATENÇÃO, JÁ GASTAMOS">
      <formula>NOT(ISERROR(SEARCH("ATENÇÃO, JÁ GASTAMOS",K22)))</formula>
    </cfRule>
    <cfRule type="containsText" dxfId="5" priority="12" operator="containsText" text="ATENÇÃO, JA GASTAMOS">
      <formula>NOT(ISERROR(SEARCH("ATENÇÃO, JA GASTAMOS",K22)))</formula>
    </cfRule>
    <cfRule type="containsText" dxfId="4" priority="13" operator="containsText" text="ATENÇÃO PARA OS GASTOS">
      <formula>NOT(ISERROR(SEARCH("ATENÇÃO PARA OS GASTOS",K22)))</formula>
    </cfRule>
    <cfRule type="cellIs" dxfId="3" priority="14" operator="lessThan">
      <formula>150</formula>
    </cfRule>
  </conditionalFormatting>
  <conditionalFormatting sqref="K24">
    <cfRule type="containsText" dxfId="2" priority="9" operator="containsText" text="Os valores estão positivos">
      <formula>NOT(ISERROR(SEARCH("Os valores estão positivos",K24)))</formula>
    </cfRule>
    <cfRule type="containsText" dxfId="1" priority="10" operator="containsText" text="Atentar aos valores negativos na tabela">
      <formula>NOT(ISERROR(SEARCH("Atentar aos valores negativos na tabela",K24)))</formula>
    </cfRule>
  </conditionalFormatting>
  <conditionalFormatting sqref="K22:N23">
    <cfRule type="containsText" dxfId="0" priority="6" operator="containsText" text="ATENÇÃO AO GASTO EXTRA">
      <formula>NOT(ISERROR(SEARCH("ATENÇÃO AO GASTO EXTRA",K22)))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Mês 08</vt:lpstr>
      <vt:lpstr>Mês 09</vt:lpstr>
      <vt:lpstr>Mês 10</vt:lpstr>
      <vt:lpstr>Mês 11</vt:lpstr>
      <vt:lpstr>Mês 12</vt:lpstr>
      <vt:lpstr>2026 Mês 01</vt:lpstr>
      <vt:lpstr>Fev-2026</vt:lpstr>
      <vt:lpstr>Mar-2026</vt:lpstr>
      <vt:lpstr>Abr-2026</vt:lpstr>
      <vt:lpstr>Maio-2026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Guilherme Rodrigues</cp:lastModifiedBy>
  <cp:lastPrinted>2025-07-29T16:41:27Z</cp:lastPrinted>
  <dcterms:modified xsi:type="dcterms:W3CDTF">2026-05-30T20:07:21Z</dcterms:modified>
</cp:coreProperties>
</file>